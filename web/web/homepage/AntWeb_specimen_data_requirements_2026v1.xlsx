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comments6.xml" ContentType="application/vnd.openxmlformats-officedocument.spreadsheetml.comments+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llection data template" sheetId="1" state="visible" r:id="rId3"/>
    <sheet name="data field descriptions" sheetId="2" state="visible" r:id="rId4"/>
    <sheet name="specimen data template" sheetId="3" state="visible" r:id="rId5"/>
    <sheet name="Date conversion" sheetId="4" state="visible" r:id="rId6"/>
    <sheet name="Lat long conversion" sheetId="5" state="visible" r:id="rId7"/>
    <sheet name="Country name list" sheetId="6" state="visible" r:id="rId8"/>
    <sheet name="Bioregion Name list" sheetId="7" state="visible" r:id="rId9"/>
    <sheet name="indet, uncertainty" sheetId="8" state="visible" r:id="rId10"/>
    <sheet name="Museum acronyms" sheetId="9" state="visible" r:id="rId11"/>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R1" authorId="0">
      <text>
        <r>
          <rPr>
            <sz val="10"/>
            <rFont val="Arial"/>
            <family val="2"/>
          </rPr>
          <t xml:space="preserve">Fisher, Brian:
used when recording lat long in deg min sec format
</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B1" authorId="0">
      <text>
        <r>
          <rPr>
            <sz val="10"/>
            <rFont val="Arial"/>
            <family val="2"/>
          </rPr>
          <t xml:space="preserve">Fisher, Brian:
used when recording lat long in deg min sec format
</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This is the ISO 3166 two-letter code (alpha-2)</t>
        </r>
      </text>
    </comment>
    <comment ref="C1" authorId="0">
      <text>
        <r>
          <rPr>
            <sz val="10"/>
            <rFont val="Arial"/>
            <family val="2"/>
          </rPr>
          <t xml:space="preserve">Seel also: http://www.iso.org/iso/country_codes/iso_3166_code_lists/country_names_and_code_elements.htm</t>
        </r>
      </text>
    </comment>
  </commentList>
</comments>
</file>

<file path=xl/sharedStrings.xml><?xml version="1.0" encoding="utf-8"?>
<sst xmlns="http://schemas.openxmlformats.org/spreadsheetml/2006/main" count="3107" uniqueCount="1270">
  <si>
    <t xml:space="preserve">CollectionCode</t>
  </si>
  <si>
    <t xml:space="preserve">Subfamily</t>
  </si>
  <si>
    <t xml:space="preserve">Genus</t>
  </si>
  <si>
    <t xml:space="preserve">Species</t>
  </si>
  <si>
    <t xml:space="preserve">LifeStageSex</t>
  </si>
  <si>
    <t xml:space="preserve">CollectedBy</t>
  </si>
  <si>
    <t xml:space="preserve">DateCollectedStart</t>
  </si>
  <si>
    <t xml:space="preserve">DateCollectedEnd</t>
  </si>
  <si>
    <t xml:space="preserve">Method</t>
  </si>
  <si>
    <t xml:space="preserve">Habitat</t>
  </si>
  <si>
    <t xml:space="preserve">Microhabitat</t>
  </si>
  <si>
    <t xml:space="preserve">CollectionNotes</t>
  </si>
  <si>
    <t xml:space="preserve">LocalityName</t>
  </si>
  <si>
    <t xml:space="preserve">Adm2</t>
  </si>
  <si>
    <t xml:space="preserve">Adm1</t>
  </si>
  <si>
    <t xml:space="preserve">Country</t>
  </si>
  <si>
    <t xml:space="preserve">Elevation</t>
  </si>
  <si>
    <t xml:space="preserve">LatDeg</t>
  </si>
  <si>
    <t xml:space="preserve">LatMin</t>
  </si>
  <si>
    <t xml:space="preserve">LatSec</t>
  </si>
  <si>
    <t xml:space="preserve">NS</t>
  </si>
  <si>
    <t xml:space="preserve">LonDeg</t>
  </si>
  <si>
    <t xml:space="preserve">LonMin</t>
  </si>
  <si>
    <t xml:space="preserve">LonSec</t>
  </si>
  <si>
    <t xml:space="preserve">EW</t>
  </si>
  <si>
    <t xml:space="preserve">LocLatitude</t>
  </si>
  <si>
    <t xml:space="preserve">LocLongitude</t>
  </si>
  <si>
    <t xml:space="preserve">LatLonMaxError</t>
  </si>
  <si>
    <t xml:space="preserve">BiogeographicRegion</t>
  </si>
  <si>
    <t xml:space="preserve">LocalityNotes</t>
  </si>
  <si>
    <t xml:space="preserve">ElevationMaxError</t>
  </si>
  <si>
    <t xml:space="preserve">ANTC1165</t>
  </si>
  <si>
    <t xml:space="preserve">Formicinae</t>
  </si>
  <si>
    <t xml:space="preserve">Myrmecocystus</t>
  </si>
  <si>
    <t xml:space="preserve">creightoni</t>
  </si>
  <si>
    <t xml:space="preserve">3 workers</t>
  </si>
  <si>
    <t xml:space="preserve">A.L.Wild</t>
  </si>
  <si>
    <t xml:space="preserve">Ground nest</t>
  </si>
  <si>
    <t xml:space="preserve">Steep grazed slope, sandy soil</t>
  </si>
  <si>
    <t xml:space="preserve">Kern River Preserve</t>
  </si>
  <si>
    <t xml:space="preserve">Kern</t>
  </si>
  <si>
    <t xml:space="preserve">California</t>
  </si>
  <si>
    <t xml:space="preserve">United States</t>
  </si>
  <si>
    <t xml:space="preserve">820 m</t>
  </si>
  <si>
    <t xml:space="preserve">Nearctic</t>
  </si>
  <si>
    <t xml:space="preserve">ANTC1202</t>
  </si>
  <si>
    <t xml:space="preserve">Myrmicinae</t>
  </si>
  <si>
    <t xml:space="preserve">Pheidole</t>
  </si>
  <si>
    <t xml:space="preserve">teneriffana</t>
  </si>
  <si>
    <t xml:space="preserve">1 major worker</t>
  </si>
  <si>
    <t xml:space="preserve">R.J. Hamton</t>
  </si>
  <si>
    <t xml:space="preserve">Long Beach</t>
  </si>
  <si>
    <t xml:space="preserve">Los Angeles</t>
  </si>
  <si>
    <t xml:space="preserve">2 minor workers</t>
  </si>
  <si>
    <t xml:space="preserve">WWK9947</t>
  </si>
  <si>
    <t xml:space="preserve">Dolichoderinae</t>
  </si>
  <si>
    <t xml:space="preserve">Linepithema</t>
  </si>
  <si>
    <t xml:space="preserve">cerradense</t>
  </si>
  <si>
    <t xml:space="preserve">1 worker</t>
  </si>
  <si>
    <t xml:space="preserve">Kempf, W. W.</t>
  </si>
  <si>
    <t xml:space="preserve">Assis Rd 333 Km 42</t>
  </si>
  <si>
    <t xml:space="preserve">Sao Paulo</t>
  </si>
  <si>
    <t xml:space="preserve">Brazil</t>
  </si>
  <si>
    <t xml:space="preserve">Neotropical</t>
  </si>
  <si>
    <t xml:space="preserve">WWK5792</t>
  </si>
  <si>
    <t xml:space="preserve">leucomelas</t>
  </si>
  <si>
    <t xml:space="preserve">&gt;5w</t>
  </si>
  <si>
    <t xml:space="preserve">Petrópolis</t>
  </si>
  <si>
    <t xml:space="preserve">Rio de Janeiro</t>
  </si>
  <si>
    <t xml:space="preserve">BLF11801</t>
  </si>
  <si>
    <t xml:space="preserve">indet</t>
  </si>
  <si>
    <t xml:space="preserve">1 dealate queen, 1 worker</t>
  </si>
  <si>
    <t xml:space="preserve">B.L.Fisher</t>
  </si>
  <si>
    <t xml:space="preserve">montane rainforest</t>
  </si>
  <si>
    <t xml:space="preserve">ex rotten log</t>
  </si>
  <si>
    <t xml:space="preserve">Forêt Ambatovy, 14.3 km 57° Moramanga</t>
  </si>
  <si>
    <t xml:space="preserve">Toamasina</t>
  </si>
  <si>
    <t xml:space="preserve">Madagascar</t>
  </si>
  <si>
    <t xml:space="preserve">1075 m</t>
  </si>
  <si>
    <t xml:space="preserve">Malagasy</t>
  </si>
  <si>
    <t xml:space="preserve">MA-02-20-15</t>
  </si>
  <si>
    <t xml:space="preserve">Aphaenogaster</t>
  </si>
  <si>
    <t xml:space="preserve">swammerdami</t>
  </si>
  <si>
    <t xml:space="preserve">M.E. Irwin, F.D. Parker, R. Harin'Hala</t>
  </si>
  <si>
    <t xml:space="preserve">Malaise trap</t>
  </si>
  <si>
    <t xml:space="preserve">transition forest</t>
  </si>
  <si>
    <t xml:space="preserve">Tsimelahy - Parcel II, Andohahela National Park, transition forest, Tulear Province</t>
  </si>
  <si>
    <t xml:space="preserve">Tulear</t>
  </si>
  <si>
    <t xml:space="preserve">180 m</t>
  </si>
  <si>
    <t xml:space="preserve">MA-02-20-14</t>
  </si>
  <si>
    <t xml:space="preserve">right hind leg of worker</t>
  </si>
  <si>
    <t xml:space="preserve">Plagiolepis</t>
  </si>
  <si>
    <t xml:space="preserve">alluaudi</t>
  </si>
  <si>
    <t xml:space="preserve">1 alate queen</t>
  </si>
  <si>
    <t xml:space="preserve">Proceratiinae</t>
  </si>
  <si>
    <t xml:space="preserve">Proceratium</t>
  </si>
  <si>
    <t xml:space="preserve">MGm04</t>
  </si>
  <si>
    <t xml:space="preserve">1 male</t>
  </si>
  <si>
    <t xml:space="preserve">Ponerinae</t>
  </si>
  <si>
    <t xml:space="preserve">Pachycondyla</t>
  </si>
  <si>
    <t xml:space="preserve">cambouei</t>
  </si>
  <si>
    <t xml:space="preserve">1 dealate queen</t>
  </si>
  <si>
    <t xml:space="preserve">BLF15840</t>
  </si>
  <si>
    <t xml:space="preserve">Cataulacus</t>
  </si>
  <si>
    <t xml:space="preserve">ebrardi</t>
  </si>
  <si>
    <t xml:space="preserve">B.L.Fisher et al.</t>
  </si>
  <si>
    <t xml:space="preserve">tropical dry forest</t>
  </si>
  <si>
    <t xml:space="preserve">on low vegetation</t>
  </si>
  <si>
    <t xml:space="preserve">Forêt Vohidava 89.2 km N Amboasary</t>
  </si>
  <si>
    <t xml:space="preserve">Toliara</t>
  </si>
  <si>
    <t xml:space="preserve">850 m</t>
  </si>
  <si>
    <t xml:space="preserve">BLF15828</t>
  </si>
  <si>
    <t xml:space="preserve">Tetramorium</t>
  </si>
  <si>
    <t xml:space="preserve">bessonii</t>
  </si>
  <si>
    <t xml:space="preserve">under stone</t>
  </si>
  <si>
    <t xml:space="preserve">BLF15886</t>
  </si>
  <si>
    <t xml:space="preserve">Meranoplus</t>
  </si>
  <si>
    <t xml:space="preserve">mayri</t>
  </si>
  <si>
    <t xml:space="preserve">1 worker, 1 male</t>
  </si>
  <si>
    <t xml:space="preserve">spiny forest/thicket</t>
  </si>
  <si>
    <t xml:space="preserve">ground nest</t>
  </si>
  <si>
    <t xml:space="preserve">18.4 km N Amboasary</t>
  </si>
  <si>
    <t xml:space="preserve">85 m</t>
  </si>
  <si>
    <t xml:space="preserve">BLF21370</t>
  </si>
  <si>
    <t xml:space="preserve">Monomorium</t>
  </si>
  <si>
    <t xml:space="preserve">termitobium</t>
  </si>
  <si>
    <t xml:space="preserve">10 MaxiWinks</t>
  </si>
  <si>
    <t xml:space="preserve">sifted litter (leaf mold, rotten wood)</t>
  </si>
  <si>
    <t xml:space="preserve">Réserve Spéciale Kalambatritra, Befarara</t>
  </si>
  <si>
    <t xml:space="preserve">1390 m</t>
  </si>
  <si>
    <t xml:space="preserve">PSW11903</t>
  </si>
  <si>
    <t xml:space="preserve">JCR02</t>
  </si>
  <si>
    <t xml:space="preserve">2 dealate queens</t>
  </si>
  <si>
    <t xml:space="preserve">P.S.Ward</t>
  </si>
  <si>
    <t xml:space="preserve">Res. Beza Mahafaly, Parcel 1</t>
  </si>
  <si>
    <t xml:space="preserve">130 m</t>
  </si>
  <si>
    <t xml:space="preserve">PSW11902</t>
  </si>
  <si>
    <t xml:space="preserve">Tapinoma</t>
  </si>
  <si>
    <t xml:space="preserve">subtile</t>
  </si>
  <si>
    <t xml:space="preserve">1 dealate queen, 1 worker, 1 male</t>
  </si>
  <si>
    <t xml:space="preserve">ex dead branch</t>
  </si>
  <si>
    <t xml:space="preserve">Res.Beza Mahafaly, Parcel 1</t>
  </si>
  <si>
    <t xml:space="preserve">ANTC6524</t>
  </si>
  <si>
    <t xml:space="preserve">Metapone</t>
  </si>
  <si>
    <t xml:space="preserve">RSA01</t>
  </si>
  <si>
    <t xml:space="preserve">RDRobinson</t>
  </si>
  <si>
    <t xml:space="preserve">in trough</t>
  </si>
  <si>
    <t xml:space="preserve">Strathalbyn, 16 Marchant Rd</t>
  </si>
  <si>
    <t xml:space="preserve">South Australia</t>
  </si>
  <si>
    <t xml:space="preserve">Australia</t>
  </si>
  <si>
    <t xml:space="preserve">S</t>
  </si>
  <si>
    <t xml:space="preserve">E</t>
  </si>
  <si>
    <t xml:space="preserve">Australasia</t>
  </si>
  <si>
    <t xml:space="preserve">ANTC6525</t>
  </si>
  <si>
    <t xml:space="preserve">Amblyoponinae</t>
  </si>
  <si>
    <t xml:space="preserve">Prionopelta</t>
  </si>
  <si>
    <t xml:space="preserve">AO02</t>
  </si>
  <si>
    <t xml:space="preserve">R.Camudenbele, L.deCarvalho</t>
  </si>
  <si>
    <t xml:space="preserve">forêt-galerie</t>
  </si>
  <si>
    <t xml:space="preserve">Angola</t>
  </si>
  <si>
    <t xml:space="preserve">Afrotropical</t>
  </si>
  <si>
    <t xml:space="preserve">ANTC6530</t>
  </si>
  <si>
    <t xml:space="preserve">Onychomyrmex</t>
  </si>
  <si>
    <t xml:space="preserve">AU03</t>
  </si>
  <si>
    <t xml:space="preserve">R.W.Taylor</t>
  </si>
  <si>
    <t xml:space="preserve">rainforest</t>
  </si>
  <si>
    <t xml:space="preserve">Eacham National Park</t>
  </si>
  <si>
    <t xml:space="preserve">Queensland</t>
  </si>
  <si>
    <t xml:space="preserve">760 m</t>
  </si>
  <si>
    <t xml:space="preserve">BLF25648</t>
  </si>
  <si>
    <t xml:space="preserve">Crematogaster</t>
  </si>
  <si>
    <t xml:space="preserve">BBB49</t>
  </si>
  <si>
    <t xml:space="preserve">Dry forest edge and burned savannah</t>
  </si>
  <si>
    <t xml:space="preserve">ground forager(s)</t>
  </si>
  <si>
    <t xml:space="preserve">Makay Mts.</t>
  </si>
  <si>
    <t xml:space="preserve">570 m</t>
  </si>
  <si>
    <t xml:space="preserve">worker</t>
  </si>
  <si>
    <t xml:space="preserve">B-243</t>
  </si>
  <si>
    <t xml:space="preserve">Leptogenys</t>
  </si>
  <si>
    <t xml:space="preserve">rufa</t>
  </si>
  <si>
    <t xml:space="preserve">S. &amp; J. Peck</t>
  </si>
  <si>
    <t xml:space="preserve">sift under termite nest, berlese</t>
  </si>
  <si>
    <t xml:space="preserve">Belmopan; [Brit. Honduras]</t>
  </si>
  <si>
    <t xml:space="preserve">Belize</t>
  </si>
  <si>
    <t xml:space="preserve">ANTC10484</t>
  </si>
  <si>
    <t xml:space="preserve">phylloba</t>
  </si>
  <si>
    <t xml:space="preserve">F. Quevedo</t>
  </si>
  <si>
    <t xml:space="preserve">Rio Ayo</t>
  </si>
  <si>
    <t xml:space="preserve">Amazonas</t>
  </si>
  <si>
    <t xml:space="preserve">Colombia</t>
  </si>
  <si>
    <t xml:space="preserve">ANTC10494</t>
  </si>
  <si>
    <t xml:space="preserve">cracens</t>
  </si>
  <si>
    <t xml:space="preserve">J. Reddell, D &amp; M McKenzie, S. Murphy</t>
  </si>
  <si>
    <t xml:space="preserve">Grutas de Monteflor, 6 km N Valle Nacional</t>
  </si>
  <si>
    <t xml:space="preserve">Oaxaca</t>
  </si>
  <si>
    <t xml:space="preserve">Mexico</t>
  </si>
  <si>
    <t xml:space="preserve">ANTC11113</t>
  </si>
  <si>
    <t xml:space="preserve">Pseudomyrmecinae</t>
  </si>
  <si>
    <t xml:space="preserve">Pseudomyrmex</t>
  </si>
  <si>
    <t xml:space="preserve">ferrugineus</t>
  </si>
  <si>
    <t xml:space="preserve">Menke, A. S.; Stange, L. A.</t>
  </si>
  <si>
    <t xml:space="preserve">Rio Guayalejo at Hwy. 85</t>
  </si>
  <si>
    <t xml:space="preserve">Tamaulipas</t>
  </si>
  <si>
    <t xml:space="preserve">N</t>
  </si>
  <si>
    <t xml:space="preserve">W</t>
  </si>
  <si>
    <t xml:space="preserve">Label without coordinates. Georeferenced by P. S. Ward, to the nearest minute</t>
  </si>
  <si>
    <t xml:space="preserve">ANTC11114</t>
  </si>
  <si>
    <t xml:space="preserve">Stange, L. A.</t>
  </si>
  <si>
    <t xml:space="preserve">Veracruz</t>
  </si>
  <si>
    <t xml:space="preserve">ANTC11115</t>
  </si>
  <si>
    <t xml:space="preserve">Parker, F. D.; Stange, L. A.</t>
  </si>
  <si>
    <t xml:space="preserve">La Tinaja, Hwy. 150 [as "Tinajas"]</t>
  </si>
  <si>
    <t xml:space="preserve">Label without coordinates. Georeferenced by P. S. Ward, to approximately the nearest minute. Labeled "Tinajas, Mex/Vera Cruz". Assumed to be La Tinaja on Hwy. 150 since the collectors were 18 mi. S of Chilpancingo (Guerrero) one day later</t>
  </si>
  <si>
    <t xml:space="preserve">ANTC11116</t>
  </si>
  <si>
    <t xml:space="preserve">Parker, F. D.</t>
  </si>
  <si>
    <t xml:space="preserve">30 mi S Acayucan</t>
  </si>
  <si>
    <t xml:space="preserve">Label without coordinates. Georeferenced by P. S. Ward, to approximately the nearest minute, using Google Earth and the 2007 edition of "Guia Roji por las carreteras de México". Site estimated to be on Hwy. 185, about 15 km north of the Oaxaca border</t>
  </si>
  <si>
    <t xml:space="preserve">ANTC11117</t>
  </si>
  <si>
    <t xml:space="preserve">18 mi S Chilpancingo</t>
  </si>
  <si>
    <t xml:space="preserve">Guerrero</t>
  </si>
  <si>
    <t xml:space="preserve">Label without coordinates. Georeferenced by P. S. Ward, to the nearest minute, using Google Earth and the 2007 edition of "Guia Roji por las carreteras de México". Site estimated to be on old Hwy. 95, about 8 km south of Mazatlán, Guerrero (not to be confused with Mazatlán, Sinaloa)</t>
  </si>
  <si>
    <t xml:space="preserve">ANTC11118</t>
  </si>
  <si>
    <t xml:space="preserve">ANTC11119</t>
  </si>
  <si>
    <t xml:space="preserve">ANTC11120</t>
  </si>
  <si>
    <t xml:space="preserve">PSW15575</t>
  </si>
  <si>
    <t xml:space="preserve">2 workers</t>
  </si>
  <si>
    <t xml:space="preserve">Ward, P. S.</t>
  </si>
  <si>
    <t xml:space="preserve">ex swollen-thorn Acacia</t>
  </si>
  <si>
    <t xml:space="preserve">coll: 17w, larvae, prepupae, wp, qp from several thorns</t>
  </si>
  <si>
    <t xml:space="preserve">Cerro Largo, 6 km W Puerto Angel</t>
  </si>
  <si>
    <t xml:space="preserve">20 m</t>
  </si>
  <si>
    <t xml:space="preserve">1 minute</t>
  </si>
  <si>
    <t xml:space="preserve">La Terraza Hotel.  Tropical dry forest on hill next to ocean</t>
  </si>
  <si>
    <t xml:space="preserve">ANTC11121</t>
  </si>
  <si>
    <t xml:space="preserve">Wheeler, W. M.</t>
  </si>
  <si>
    <t xml:space="preserve">Acacia spines</t>
  </si>
  <si>
    <t xml:space="preserve">Escuintla</t>
  </si>
  <si>
    <t xml:space="preserve">Guatemala</t>
  </si>
  <si>
    <t xml:space="preserve">WPM20017</t>
  </si>
  <si>
    <t xml:space="preserve">Mackay, W.; Mackay, E.</t>
  </si>
  <si>
    <t xml:space="preserve">swollem-thorn Acacia</t>
  </si>
  <si>
    <t xml:space="preserve">Lamanai</t>
  </si>
  <si>
    <t xml:space="preserve">Orange Walk</t>
  </si>
  <si>
    <t xml:space="preserve">10 m</t>
  </si>
  <si>
    <t xml:space="preserve">ANTC11122</t>
  </si>
  <si>
    <t xml:space="preserve">flavicornis</t>
  </si>
  <si>
    <t xml:space="preserve">Cavagnaro, D.; Irwin, M. E.</t>
  </si>
  <si>
    <t xml:space="preserve">Los Chorros</t>
  </si>
  <si>
    <t xml:space="preserve">La Libertad</t>
  </si>
  <si>
    <t xml:space="preserve">El Salvador</t>
  </si>
  <si>
    <t xml:space="preserve">Label without coordinates. Georeferenced by P. S. Ward, to the nearest minute, using Google Earth. Labeled "Los Chorros/El Salvador". Interpreted as referring to Los Chorros (Parque Acuático) on Carretera Panamericana, west of Santa Tecla</t>
  </si>
  <si>
    <t xml:space="preserve">ANTC11123</t>
  </si>
  <si>
    <t xml:space="preserve">ANTC11124</t>
  </si>
  <si>
    <t xml:space="preserve">Irwin, M. E.</t>
  </si>
  <si>
    <t xml:space="preserve">Los Chorros National Park</t>
  </si>
  <si>
    <t xml:space="preserve">Label without coordinates. Georeferenced by P. S. Ward, to the nearest minute, using Google Earth. Labeled "Los Chorros National Prk./El Salvador". Interpreted as referring to Los Chorros (Parque Acuático) on Carretera Panamericana, west of Santa Tecla</t>
  </si>
  <si>
    <t xml:space="preserve">ANTC11125</t>
  </si>
  <si>
    <t xml:space="preserve">Quezaltepeque</t>
  </si>
  <si>
    <t xml:space="preserve">ANTC11126</t>
  </si>
  <si>
    <t xml:space="preserve">ANTC11127</t>
  </si>
  <si>
    <t xml:space="preserve">Bohart, R. M.</t>
  </si>
  <si>
    <t xml:space="preserve">Rio Corobici, nr. Cañas</t>
  </si>
  <si>
    <t xml:space="preserve">Guanacaste</t>
  </si>
  <si>
    <t xml:space="preserve">Costa Rica</t>
  </si>
  <si>
    <t xml:space="preserve">Label without coordinates. Georeferenced by P. S. Ward, to the nearest minute. Mislabeled as "Rio Corbici, nr. Canas"</t>
  </si>
  <si>
    <t xml:space="preserve">ANTC11128</t>
  </si>
  <si>
    <t xml:space="preserve">ANTC11129</t>
  </si>
  <si>
    <t xml:space="preserve">Buchman, S.</t>
  </si>
  <si>
    <t xml:space="preserve">unknown</t>
  </si>
  <si>
    <t xml:space="preserve">Label without coordinates and without precise locality. Labeled "Costa Rica/Guanacaste/Prov." and possible collection code "72-32". Collector might be Stephen L. Buchmann, but is spelled "S. Buchman"</t>
  </si>
  <si>
    <t xml:space="preserve">ANTC11130</t>
  </si>
  <si>
    <t xml:space="preserve">ANTC11131</t>
  </si>
  <si>
    <t xml:space="preserve">Whitacre, D.</t>
  </si>
  <si>
    <t xml:space="preserve">Palo Verde</t>
  </si>
  <si>
    <t xml:space="preserve">PSW03562</t>
  </si>
  <si>
    <t xml:space="preserve">second-growth dry scrub</t>
  </si>
  <si>
    <t xml:space="preserve">5 dealate queens, one per thorn; one q with 4w and larva; in same plant as PSW03561</t>
  </si>
  <si>
    <t xml:space="preserve">Hacienda la Pacifica, nr. Cañas</t>
  </si>
  <si>
    <t xml:space="preserve">50 m</t>
  </si>
  <si>
    <t xml:space="preserve">Label without coordinates. Georeferenced by P. S. Ward, to the nearest minute, using PSW field notes. Site is along the track north of the cabinas, through second-growth dry scrub</t>
  </si>
  <si>
    <t xml:space="preserve">PSW06430</t>
  </si>
  <si>
    <t xml:space="preserve">Acacia collinsii</t>
  </si>
  <si>
    <t xml:space="preserve">3dq, on Acacia collinsii occupied by Pseudomyrmex nigricinctus</t>
  </si>
  <si>
    <t xml:space="preserve">Santa Rosa Natl. Park</t>
  </si>
  <si>
    <t xml:space="preserve">300 m</t>
  </si>
  <si>
    <t xml:space="preserve">Tropical dry forest ca. 1.2 km south of Santa Elana lookout</t>
  </si>
  <si>
    <t xml:space="preserve">PSW06451</t>
  </si>
  <si>
    <t xml:space="preserve">low coastal forest</t>
  </si>
  <si>
    <t xml:space="preserve">4w, in lower two thirds of small Acacia collinsii plant occupied by Crematogaster (PSW06450)</t>
  </si>
  <si>
    <t xml:space="preserve">&lt;5 m</t>
  </si>
  <si>
    <t xml:space="preserve">Playa Naranjo; low coastal forest</t>
  </si>
  <si>
    <t xml:space="preserve">PSW07741</t>
  </si>
  <si>
    <t xml:space="preserve">edge of second-growth rainforest</t>
  </si>
  <si>
    <t xml:space="preserve">coll.: 35w</t>
  </si>
  <si>
    <t xml:space="preserve">1km NE Tárcoles</t>
  </si>
  <si>
    <t xml:space="preserve">Puntarenas</t>
  </si>
  <si>
    <t xml:space="preserve">Around recently felled trees and adjacent, disturbed second-growth rainforest</t>
  </si>
  <si>
    <t xml:space="preserve">ANTC11132</t>
  </si>
  <si>
    <t xml:space="preserve">nr. Cañas</t>
  </si>
  <si>
    <t xml:space="preserve">PSW15043</t>
  </si>
  <si>
    <t xml:space="preserve">roadside edge</t>
  </si>
  <si>
    <t xml:space="preserve">coll: 115w, larvae, prepupae, wp</t>
  </si>
  <si>
    <t xml:space="preserve">5 km SW Cuilapa</t>
  </si>
  <si>
    <t xml:space="preserve">Santa Rosa</t>
  </si>
  <si>
    <t xml:space="preserve">575 m</t>
  </si>
  <si>
    <t xml:space="preserve">Roadside, next to secondary forest fragments and pasture. On Ruta Nacional 16 between Cuilapa and Chiquimulilla, near km. 72, at point where a tributary (Río Utapa) joins the Río Los Esclavos. GPS reading: N 14º14.335´ W 90º19.547´</t>
  </si>
  <si>
    <t xml:space="preserve">ANTC11133</t>
  </si>
  <si>
    <t xml:space="preserve">2 alate queens</t>
  </si>
  <si>
    <t xml:space="preserve">Clark, J.</t>
  </si>
  <si>
    <t xml:space="preserve">San Juan del Sur</t>
  </si>
  <si>
    <t xml:space="preserve">Rivas</t>
  </si>
  <si>
    <t xml:space="preserve">Nicaragua</t>
  </si>
  <si>
    <t xml:space="preserve">LLAMA Wa-A-01-2-22</t>
  </si>
  <si>
    <t xml:space="preserve">Leptanilloidinae</t>
  </si>
  <si>
    <t xml:space="preserve">Leptanilloides</t>
  </si>
  <si>
    <t xml:space="preserve">gracilis</t>
  </si>
  <si>
    <t xml:space="preserve">Project LLAMA  </t>
  </si>
  <si>
    <t xml:space="preserve">secondary mesophil forest</t>
  </si>
  <si>
    <t xml:space="preserve">ex sifted leaf litter</t>
  </si>
  <si>
    <t xml:space="preserve">Sierra Morena</t>
  </si>
  <si>
    <t xml:space="preserve">Chiapas</t>
  </si>
  <si>
    <t xml:space="preserve">1330 m</t>
  </si>
  <si>
    <t xml:space="preserve">FAE918</t>
  </si>
  <si>
    <t xml:space="preserve">Lepisiota</t>
  </si>
  <si>
    <t xml:space="preserve">SA03</t>
  </si>
  <si>
    <t xml:space="preserve">F.A. Esteves</t>
  </si>
  <si>
    <t xml:space="preserve">rocky wash with Tamarix and Juniper</t>
  </si>
  <si>
    <t xml:space="preserve">beating low vegetation</t>
  </si>
  <si>
    <t xml:space="preserve">Al Bahah</t>
  </si>
  <si>
    <t xml:space="preserve">Saudi Arabia</t>
  </si>
  <si>
    <t xml:space="preserve">1750 m</t>
  </si>
  <si>
    <t xml:space="preserve">Palearctic</t>
  </si>
  <si>
    <t xml:space="preserve">SA01</t>
  </si>
  <si>
    <t xml:space="preserve">BLF07652</t>
  </si>
  <si>
    <t xml:space="preserve">sakalavum</t>
  </si>
  <si>
    <t xml:space="preserve">Fisher, Griswold et al.</t>
  </si>
  <si>
    <t xml:space="preserve">Beat 25 sample transect, 10m, beating low vegetation</t>
  </si>
  <si>
    <t xml:space="preserve">gallery forest</t>
  </si>
  <si>
    <t xml:space="preserve">Parc National d'Isalo, Sahanafa River, 29.2 km 351° N Ranohira</t>
  </si>
  <si>
    <t xml:space="preserve">Fianarantsoa</t>
  </si>
  <si>
    <t xml:space="preserve">500 m</t>
  </si>
  <si>
    <t xml:space="preserve">MG155</t>
  </si>
  <si>
    <t xml:space="preserve">JTL6505  </t>
  </si>
  <si>
    <t xml:space="preserve">Azteca </t>
  </si>
  <si>
    <t xml:space="preserve">coeruleipennis</t>
  </si>
  <si>
    <t xml:space="preserve">queen</t>
  </si>
  <si>
    <t xml:space="preserve">J.Longino  </t>
  </si>
  <si>
    <t xml:space="preserve">search</t>
  </si>
  <si>
    <t xml:space="preserve">tropical moist forest</t>
  </si>
  <si>
    <t xml:space="preserve">ex Cecropia peltata</t>
  </si>
  <si>
    <t xml:space="preserve">14km WSW Catacamas</t>
  </si>
  <si>
    <t xml:space="preserve">Olancho</t>
  </si>
  <si>
    <t xml:space="preserve">Honduras</t>
  </si>
  <si>
    <t xml:space="preserve">590 m</t>
  </si>
  <si>
    <t xml:space="preserve">120 m</t>
  </si>
  <si>
    <t xml:space="preserve">JTL7122-s  </t>
  </si>
  <si>
    <t xml:space="preserve">Formica</t>
  </si>
  <si>
    <t xml:space="preserve">aerata</t>
  </si>
  <si>
    <t xml:space="preserve">adult worker</t>
  </si>
  <si>
    <t xml:space="preserve">shrub steppe with scattered houses, sagebrush</t>
  </si>
  <si>
    <t xml:space="preserve">foragers</t>
  </si>
  <si>
    <t xml:space="preserve">27km NW Bishop</t>
  </si>
  <si>
    <t xml:space="preserve">1970 m</t>
  </si>
  <si>
    <t xml:space="preserve">30 m</t>
  </si>
  <si>
    <t xml:space="preserve">JTL7176-s  </t>
  </si>
  <si>
    <t xml:space="preserve">aglae</t>
  </si>
  <si>
    <t xml:space="preserve">winkler</t>
  </si>
  <si>
    <t xml:space="preserve">tropical rainforest </t>
  </si>
  <si>
    <t xml:space="preserve">Danum Valley Fld Ctr</t>
  </si>
  <si>
    <t xml:space="preserve">Sabah</t>
  </si>
  <si>
    <t xml:space="preserve">Malaysia</t>
  </si>
  <si>
    <t xml:space="preserve">515 m</t>
  </si>
  <si>
    <t xml:space="preserve">Indomalaya</t>
  </si>
  <si>
    <t xml:space="preserve">JTL7446  </t>
  </si>
  <si>
    <t xml:space="preserve">aenescens</t>
  </si>
  <si>
    <t xml:space="preserve">cloud forest </t>
  </si>
  <si>
    <t xml:space="preserve">nest in soil</t>
  </si>
  <si>
    <t xml:space="preserve">5km N Rio Blanco</t>
  </si>
  <si>
    <t xml:space="preserve">Matagalpa</t>
  </si>
  <si>
    <t xml:space="preserve">1370 m</t>
  </si>
  <si>
    <t xml:space="preserve">Wa-D-01-1-01  </t>
  </si>
  <si>
    <t xml:space="preserve">Stenamma</t>
  </si>
  <si>
    <t xml:space="preserve">MHb40</t>
  </si>
  <si>
    <t xml:space="preserve">LLAMA  </t>
  </si>
  <si>
    <t xml:space="preserve">miniWinkler</t>
  </si>
  <si>
    <t xml:space="preserve">tropical wet forest </t>
  </si>
  <si>
    <t xml:space="preserve">RN Cerro Musún</t>
  </si>
  <si>
    <t xml:space="preserve">Matagalpa </t>
  </si>
  <si>
    <t xml:space="preserve">750 m</t>
  </si>
  <si>
    <t xml:space="preserve">Wa-D-01-1-02  </t>
  </si>
  <si>
    <t xml:space="preserve">Wa-D-01-1-03  </t>
  </si>
  <si>
    <t xml:space="preserve">ANTC1930</t>
  </si>
  <si>
    <t xml:space="preserve">Psalidomyrmex</t>
  </si>
  <si>
    <t xml:space="preserve">procerus</t>
  </si>
  <si>
    <t xml:space="preserve">B.Malkin</t>
  </si>
  <si>
    <t xml:space="preserve">Matute, Tiko Plantation</t>
  </si>
  <si>
    <t xml:space="preserve">Cameroon</t>
  </si>
  <si>
    <t xml:space="preserve">ANTC1934</t>
  </si>
  <si>
    <t xml:space="preserve">Anochetus</t>
  </si>
  <si>
    <t xml:space="preserve">punctaticeps</t>
  </si>
  <si>
    <t xml:space="preserve">2 workers, 1 male</t>
  </si>
  <si>
    <t xml:space="preserve">M.Villet</t>
  </si>
  <si>
    <t xml:space="preserve">in riverine kloof forest</t>
  </si>
  <si>
    <t xml:space="preserve">Rivendell Farm, near Grahamstown</t>
  </si>
  <si>
    <t xml:space="preserve">Eastern Cape</t>
  </si>
  <si>
    <t xml:space="preserve">South Africa</t>
  </si>
  <si>
    <t xml:space="preserve">Darwin Core field name</t>
  </si>
  <si>
    <t xml:space="preserve">Data Field</t>
  </si>
  <si>
    <t xml:space="preserve">Description</t>
  </si>
  <si>
    <t xml:space="preserve">Comments</t>
  </si>
  <si>
    <t xml:space="preserve">Collection field codes are numbers given to each collection event to link specimens to collection data. They are given most often at the time of collection. Collection codes can be created in a number of ways but best practices are to have the numbers unique within one's entire collection, to include numbers in the code and no spaces. For example, codes can be tied to the collector by the collector’s initials (e.g.. BLF123456). For a biodiversity inventory, collection codes can be used to reflect a particular quantitative sample (e.g. Fog/01/01 for a project fogging sample).  </t>
  </si>
  <si>
    <t xml:space="preserve">Optional: When databasing retrospective or older collections, the code is not necessary, but for new collections, best practices strongly encourage the use of collection codes.  Benefit: facilitates processing specimens, labeling, curation, and management of collections and associated data. The collection code links specimens to the appropriate locality and collection data and will facilitate labeling mounted or etoh specimens with the appropriate locality label.  Thus the collection code should stay with the specimens as they are processed and mounted. In addition when databasing, they are used to link specimens to collection and locality data. </t>
  </si>
  <si>
    <t xml:space="preserve">Last name, comma, initials, with multiple collectors separated by a semi-colon.</t>
  </si>
  <si>
    <t xml:space="preserve">Required</t>
  </si>
  <si>
    <t xml:space="preserve">Record as YYYY-MM-DD (this is the date format used for importing data, but for labels, differentiate the month, e.g. 2 Feb 2011 or 2.ii.2011); in excel, you can set the date format via the format cell, custom option and set it as YYYY-MM-DD or when using partial dates, change cell to text format.</t>
  </si>
  <si>
    <t xml:space="preserve">Record as YYYY-MM-DD</t>
  </si>
  <si>
    <t xml:space="preserve">Optional, useful to indicate the date range for traps such as Malaise or pitfalls</t>
  </si>
  <si>
    <t xml:space="preserve">pitfall, Malaise, search, beating, yellow pan trap, sweeping, Winkler, hand sifter, Berlese, etc.</t>
  </si>
  <si>
    <t xml:space="preserve">Encouraged. Benefit: provides information on the biology of the species</t>
  </si>
  <si>
    <t xml:space="preserve">Habitat refers to general vegetation classification. There is no standard classification available, but even a simple description, like forest, grassland, or desert will provide some details on the habitat structure. </t>
  </si>
  <si>
    <t xml:space="preserve">Microhabitat refers to the specific habitat of the ants collected: e.g. under stone, ground forager(s), ex rotten log, on low vegetation, ex dead twig, ex live stem ____, ex rotten stick on ground, ground nest, sifted litter (leaf mold, rotten wood), under tree bark, live tree, carton nest on foliage, on tree trunk(s), ex rot pocket above ground, ex rotting tree stump, ex dead branch above ground, at light, ex termite mound</t>
  </si>
  <si>
    <t xml:space="preserve">Field notes, field identifications, field observations, etc. To create a paragraph within this field, add html codes &lt;p&gt;, &lt;/p&gt;. </t>
  </si>
  <si>
    <t xml:space="preserve">Encouraged</t>
  </si>
  <si>
    <t xml:space="preserve">Text description of locality. Include distance and direction from nearest village if possible.   If updating older printed label data, put original label text in brackets [ ].  </t>
  </si>
  <si>
    <t xml:space="preserve">Primary administrative division, e.g. state, province. Name only; do not add "State", "Prov.", etc.</t>
  </si>
  <si>
    <t xml:space="preserve">Secondary administrative division. e.g. county. Name only; do not add "Co.", etc.</t>
  </si>
  <si>
    <t xml:space="preserve">Follow ISO standard names: http://en.wikipedia.org/wiki/ISO_3166-1</t>
  </si>
  <si>
    <t xml:space="preserve"> ISO two letter country codes asre not currently supported. </t>
  </si>
  <si>
    <t xml:space="preserve">Single value, in meters, no ranges, no "&lt;"; add a space then "m" to clearly indicate that the value is in meters. Add to SpecimenNotes field comments regarding elevation.  If an elevation is given in feet on the label: convert to meters, and then give the actual label transcription (“3000 ft.”) in SpecimenNotes.  If a range is given on a specimen label (e.g. 500-1000 m), then enter the average (750 m) and under SpecimenNotes give the direct label transcription. </t>
  </si>
  <si>
    <t xml:space="preserve">Error around elevation midpoint; for example, instead of 500-1000 m use Elevation=750 m, ElevationMaxError=250 m.</t>
  </si>
  <si>
    <t xml:space="preserve">Encouraged: useful during studies on elevation gradients</t>
  </si>
  <si>
    <t xml:space="preserve">Record in decimal degrees; see "lat long conversion" worksheet for converting</t>
  </si>
  <si>
    <t xml:space="preserve">Required for new collections</t>
  </si>
  <si>
    <t xml:space="preserve">LatLonMaxError </t>
  </si>
  <si>
    <t xml:space="preserve">Extent + GPS error. Extent is the maximum distance from where you take the gps reading to where you collect a specimen connected to that reading (in the field, often a rough estimate). GPS error = error determined by gps.  Indicate units: m, km, degree, minute, second.  If error unknown, enter "unknown"</t>
  </si>
  <si>
    <t xml:space="preserve">Encouraged. Benefit when mapping and modeling species distributions</t>
  </si>
  <si>
    <t xml:space="preserve">Nearctic (including most of North America), Neotropical (including South America and the Caribbean), Palearctic (including the bulk of Eurasia and North Africa), Afrotropical (including Sub-Saharan Africa), Malagasy (Madagascar and Southwest Indian Ocean Islands including Seychelles, Comoros, Mascarenes) Indomalaya (including the Indian subcontinent and Southeast Asia), Australasia (including Australia, New Guinea, and neighboring islands. The northern boundary of this zone is known as the Wallace line.), and Oceania (Pacific Ocean islands including Polynesia, Melanesia, Micronesia). For limits in China and Mexico see map at: http://en.wikipedia.org/wiki/File:Ecozones.svg</t>
  </si>
  <si>
    <t xml:space="preserve">Encouraged: benefit: permits searching for records from entire region and not just by country. </t>
  </si>
  <si>
    <t xml:space="preserve">Text field for notes pertaining to the locality; use this field to explain details on georeferencing. To create a paragraph within this field, add html codes &lt;p&gt;, &lt;/p&gt;. </t>
  </si>
  <si>
    <t xml:space="preserve">SpecimenCode</t>
  </si>
  <si>
    <t xml:space="preserve">unique Identifier: e.g.. CASENT1234567 This code is given to the specimen or pin to uniquely identify the object.   The code must be globally unique.  The specimen code is essential for databasing specimens.  The code does not imply ownership.  Thus it is not a museum catalog or accession number, but a code to refer to the specimen. </t>
  </si>
  <si>
    <t xml:space="preserve">Obligatory field: Contact Antweb if codes are needed.</t>
  </si>
  <si>
    <t xml:space="preserve">valid subfamily name.  If subfamily not determined, then enter Formicidae-indet for subfamily</t>
  </si>
  <si>
    <t xml:space="preserve">Required. Also, note that if Class, Order, and Family is not provided, Antweb assumes Class Insecta, Oder Hymenoptera, Family Formicidae</t>
  </si>
  <si>
    <t xml:space="preserve">valid genus name; if genus is undetermined, then enter the [subfamily name]-indet such as Amblyoponinae-indet for a specimen determined only to the subfamily Amblyoponinae</t>
  </si>
  <si>
    <t xml:space="preserve">Species field can not include spaces.  For unnamed species, avoid names such as "sp. A" or "sp. 1". and do not use morphospecies codes that contain just letters, you must include on  a numbers or a "-".  Also, when establishing morphospecies for a large collection, best practices is to include the prefix collection coden of the source collection: e.g. Concoctio afrc-gau01  where AFRC refers to the collection, GAU refers to a region. Use _cf for taxa that are close to or conspecific to named taxon;  _nr for taxa that are close to named taxon;  "_complex" for taxa identified to species complex only; or "_grp" for taxa identified to species group only. See Specimen notes for adding taxonomic reliability.  </t>
  </si>
  <si>
    <t xml:space="preserve">For taxa not determined to species use “indet” For taxa determined only to higher taxa, use the convention enclosing the known name in parentheses. See examples on the “indet, uncertainty” tab. </t>
  </si>
  <si>
    <t xml:space="preserve">Subspecies</t>
  </si>
  <si>
    <t xml:space="preserve">valid subpsecies name</t>
  </si>
  <si>
    <t xml:space="preserve">alate queen, dealate queen, ergatoid queen, worker, minor worker, major worker [required for dimorphic genera: Carebara, Pheidole, Acanthomyrmex}, soldier, male, ergaoid male, larvae, pupae.  uncommon castes: dichthadiiform queen, intercaste queen, intermorph, gynandromorph. Ergatoid queens are permanently wingless reproductives and exhibit various degrees of thoracic simplification and in many species their gaster is conspicuously bigger than workers. larvae and pupae </t>
  </si>
  <si>
    <t xml:space="preserve">Encouraged. Benefit:  allows AntWeb users to search for specific castes. This is a required field for imaged specimens. If you imaged a specimen on a pin that has more than one specimen, you need to add total individual and caste information to specimens notes as an example: pin: 1 worker, 2 dealate queens, 1 male.  </t>
  </si>
  <si>
    <t xml:space="preserve">Medium</t>
  </si>
  <si>
    <t xml:space="preserve">pin, dry-mount, slide, alcohol, ethanol, fluid, etc. If you know percentage, add it, e.g. 100%EtOH</t>
  </si>
  <si>
    <t xml:space="preserve">Encouraged. Benefit: useful in managing collections</t>
  </si>
  <si>
    <t xml:space="preserve">SpecimenNotes</t>
  </si>
  <si>
    <t xml:space="preserve">any notes pertaining to the specimen, label transcriptions or reliability of identification;. Add information including the basis of identification to help establish the quality or confidence in the taxonomic identification.   To create a paragraph within this field, add html codes &lt;p&gt;, &lt;/p&gt;. </t>
  </si>
  <si>
    <t xml:space="preserve">DNANotes</t>
  </si>
  <si>
    <t xml:space="preserve">notes for specimens used in molecular analysis</t>
  </si>
  <si>
    <t xml:space="preserve">LocatedAt</t>
  </si>
  <si>
    <t xml:space="preserve">museum acronym or initials, e.g. CASC, PSWC, MHNG, USNM see "Museum" tab and also:"Insect &amp; Spider collections of the world" (http://hbs.bishopmuseum.org/codens/codens-r-us.html ) which gives codens for most collections</t>
  </si>
  <si>
    <t xml:space="preserve">OwnedBy</t>
  </si>
  <si>
    <t xml:space="preserve">museum acronym or initials, e.g. CASC, PSWC, MHNG, USNM (add more examples)</t>
  </si>
  <si>
    <t xml:space="preserve">Encouraged: benefit to those who loan or ship specimens</t>
  </si>
  <si>
    <t xml:space="preserve">TypeStatus</t>
  </si>
  <si>
    <t xml:space="preserve">holotype, paratype, syntype, lectotype, paralectotype or neotype  include original type combination; e.g.. Holotype of Pheidole cephalica</t>
  </si>
  <si>
    <t xml:space="preserve">Encouraged: benefit to those doing taxonomic work</t>
  </si>
  <si>
    <t xml:space="preserve">DeterminedBy</t>
  </si>
  <si>
    <t xml:space="preserve">the person who identified the specimen; last name, comma, initials, with multiple collectors separated by a semi-colon.</t>
  </si>
  <si>
    <t xml:space="preserve">Encouraged: provides information as who to question about the identifications</t>
  </si>
  <si>
    <t xml:space="preserve">DateDetermined</t>
  </si>
  <si>
    <t xml:space="preserve">record as YYYY-MM-DD</t>
  </si>
  <si>
    <t xml:space="preserve">previousDeterminations</t>
  </si>
  <si>
    <t xml:space="preserve">Earlier identifications of the specimen, newest first, separated by a space, a vertical bar and a space ( | ). Write each as Taxon: determination by Name on YYYY-MM-DD ("by" and "on" are optional). Example: Nylanderia: US_CA01 by Ward on 2025-12-10 | Nylanderia: US_CA01 by Fisher on 2000-11-10</t>
  </si>
  <si>
    <t xml:space="preserve">Optional. Shown on the specimen page under "Date determined". Files without this column upload as before. Specimens from TaxonWorks get it automatically.</t>
  </si>
  <si>
    <t xml:space="preserve">subspecies</t>
  </si>
  <si>
    <t xml:space="preserve">CASENT0005419</t>
  </si>
  <si>
    <t xml:space="preserve">pin</t>
  </si>
  <si>
    <t xml:space="preserve">UCDC</t>
  </si>
  <si>
    <t xml:space="preserve">UCDC, Davis, California, USA</t>
  </si>
  <si>
    <t xml:space="preserve">CASENT0005777</t>
  </si>
  <si>
    <t xml:space="preserve">CASENT0005778</t>
  </si>
  <si>
    <t xml:space="preserve">CASENT0013292</t>
  </si>
  <si>
    <t xml:space="preserve">MZSP</t>
  </si>
  <si>
    <t xml:space="preserve">MZSP, Sao Paulo, Brazil</t>
  </si>
  <si>
    <t xml:space="preserve">CASENT0014121</t>
  </si>
  <si>
    <t xml:space="preserve">CASENT0053643</t>
  </si>
  <si>
    <t xml:space="preserve">CASC</t>
  </si>
  <si>
    <t xml:space="preserve">CASC, San Francisco, CA, USA</t>
  </si>
  <si>
    <t xml:space="preserve">CASENT0061628</t>
  </si>
  <si>
    <t xml:space="preserve">2006</t>
  </si>
  <si>
    <t xml:space="preserve">CASENT0062248</t>
  </si>
  <si>
    <t xml:space="preserve">Kelly Herbinson</t>
  </si>
  <si>
    <t xml:space="preserve">CASENT0062248-D01</t>
  </si>
  <si>
    <t xml:space="preserve">100% EtOH</t>
  </si>
  <si>
    <t xml:space="preserve">sent to Alex Smith for barcoding, U of Guelph BOX-00620</t>
  </si>
  <si>
    <t xml:space="preserve">CASENT0062254</t>
  </si>
  <si>
    <t xml:space="preserve">CASENT0063566</t>
  </si>
  <si>
    <t xml:space="preserve">Yoshimura Masashi</t>
  </si>
  <si>
    <t xml:space="preserve">2011-07</t>
  </si>
  <si>
    <t xml:space="preserve">CASENT0107490</t>
  </si>
  <si>
    <t xml:space="preserve">CASENT0121593</t>
  </si>
  <si>
    <t xml:space="preserve">2008</t>
  </si>
  <si>
    <t xml:space="preserve">CASENT0121595</t>
  </si>
  <si>
    <t xml:space="preserve">CASENT0122755</t>
  </si>
  <si>
    <t xml:space="preserve">CASENT0150695</t>
  </si>
  <si>
    <t xml:space="preserve">CASENT0170065</t>
  </si>
  <si>
    <t xml:space="preserve">MCZC</t>
  </si>
  <si>
    <t xml:space="preserve">MCZC, Cambridge, MA, USA</t>
  </si>
  <si>
    <t xml:space="preserve">CASENT0170944</t>
  </si>
  <si>
    <t xml:space="preserve">PSWC</t>
  </si>
  <si>
    <t xml:space="preserve">CASENT0172292</t>
  </si>
  <si>
    <t xml:space="preserve">ANIC</t>
  </si>
  <si>
    <t xml:space="preserve">ANIC, Canberra, Australia</t>
  </si>
  <si>
    <t xml:space="preserve">CASENT0172293</t>
  </si>
  <si>
    <t xml:space="preserve">CASENT0172301</t>
  </si>
  <si>
    <t xml:space="preserve">Steve Shattuck</t>
  </si>
  <si>
    <t xml:space="preserve">CASENT0205619</t>
  </si>
  <si>
    <t xml:space="preserve">CASENT0205619-D01</t>
  </si>
  <si>
    <t xml:space="preserve">95% EtOH</t>
  </si>
  <si>
    <t xml:space="preserve">1, sent for barcoding, Guelph CCDB-13907</t>
  </si>
  <si>
    <t xml:space="preserve">CASENT0217002</t>
  </si>
  <si>
    <t xml:space="preserve">MIZA</t>
  </si>
  <si>
    <t xml:space="preserve">J. Lattke</t>
  </si>
  <si>
    <t xml:space="preserve">2007</t>
  </si>
  <si>
    <t xml:space="preserve">CASENT0217003</t>
  </si>
  <si>
    <t xml:space="preserve">IAVH, Bogotá, Colombia</t>
  </si>
  <si>
    <t xml:space="preserve">paratype</t>
  </si>
  <si>
    <t xml:space="preserve">CASENT0217020</t>
  </si>
  <si>
    <t xml:space="preserve">LACM, Los Angeles, CA, USA</t>
  </si>
  <si>
    <t xml:space="preserve">Holotype</t>
  </si>
  <si>
    <t xml:space="preserve">CASENT0220547</t>
  </si>
  <si>
    <t xml:space="preserve">CASENT0220548</t>
  </si>
  <si>
    <t xml:space="preserve">CASENT0220549</t>
  </si>
  <si>
    <t xml:space="preserve">CASENT0220550</t>
  </si>
  <si>
    <t xml:space="preserve">CASENT0220551</t>
  </si>
  <si>
    <t xml:space="preserve">CASENT0220552</t>
  </si>
  <si>
    <t xml:space="preserve">CASENT0220553</t>
  </si>
  <si>
    <t xml:space="preserve">CASENT0220554</t>
  </si>
  <si>
    <t xml:space="preserve">CASENT0220555</t>
  </si>
  <si>
    <t xml:space="preserve">CASENT0220556</t>
  </si>
  <si>
    <t xml:space="preserve">CASENT0220557</t>
  </si>
  <si>
    <t xml:space="preserve">CASENT0220558</t>
  </si>
  <si>
    <t xml:space="preserve">CASENT0220559</t>
  </si>
  <si>
    <t xml:space="preserve">CASENT0220560</t>
  </si>
  <si>
    <t xml:space="preserve">CASENT0220561</t>
  </si>
  <si>
    <t xml:space="preserve">CASENT0220562</t>
  </si>
  <si>
    <t xml:space="preserve">CASENT0220563</t>
  </si>
  <si>
    <t xml:space="preserve">CASENT0220564</t>
  </si>
  <si>
    <t xml:space="preserve">CASENT0220565</t>
  </si>
  <si>
    <t xml:space="preserve">CASENT0220566</t>
  </si>
  <si>
    <t xml:space="preserve">CASENT0220567</t>
  </si>
  <si>
    <t xml:space="preserve">CASENT0220568</t>
  </si>
  <si>
    <t xml:space="preserve">CASENT0220569</t>
  </si>
  <si>
    <t xml:space="preserve">CASENT0220570</t>
  </si>
  <si>
    <t xml:space="preserve">CASENT0220571</t>
  </si>
  <si>
    <t xml:space="preserve">CASENT0220572</t>
  </si>
  <si>
    <t xml:space="preserve">CASENT0220573</t>
  </si>
  <si>
    <t xml:space="preserve">CASENT0220574</t>
  </si>
  <si>
    <t xml:space="preserve">CASENT0249448</t>
  </si>
  <si>
    <t xml:space="preserve">CASENT0263987</t>
  </si>
  <si>
    <t xml:space="preserve">CASENT0263987-D01</t>
  </si>
  <si>
    <t xml:space="preserve">2, sent for barcoding, Guelph BOX-CCDB-09158</t>
  </si>
  <si>
    <t xml:space="preserve">CASENT0263992</t>
  </si>
  <si>
    <t xml:space="preserve">CASENT0263992-D01</t>
  </si>
  <si>
    <t xml:space="preserve">1, sent for barcoding, Guelph BOX-CCDB-14504</t>
  </si>
  <si>
    <t xml:space="preserve">CASENT0492540</t>
  </si>
  <si>
    <t xml:space="preserve">CASENT0492572</t>
  </si>
  <si>
    <t xml:space="preserve">CASENT0609953</t>
  </si>
  <si>
    <t xml:space="preserve">dry-mount</t>
  </si>
  <si>
    <t xml:space="preserve">JTLC</t>
  </si>
  <si>
    <t xml:space="preserve">Fisher-25Jul11</t>
  </si>
  <si>
    <t xml:space="preserve">J. Longino</t>
  </si>
  <si>
    <t xml:space="preserve">CASENT0612292</t>
  </si>
  <si>
    <t xml:space="preserve">CASENT0616686</t>
  </si>
  <si>
    <t xml:space="preserve">CASENT0619646</t>
  </si>
  <si>
    <t xml:space="preserve">CASENT0622460</t>
  </si>
  <si>
    <t xml:space="preserve">MGBPC</t>
  </si>
  <si>
    <t xml:space="preserve">M. G. Branstetter</t>
  </si>
  <si>
    <t xml:space="preserve">CASENT0622464</t>
  </si>
  <si>
    <t xml:space="preserve">CASENT0622465</t>
  </si>
  <si>
    <t xml:space="preserve">SAM-HYM-C002831</t>
  </si>
  <si>
    <t xml:space="preserve">SAMC</t>
  </si>
  <si>
    <t xml:space="preserve">SAMC, Cape Town, South Africa</t>
  </si>
  <si>
    <t xml:space="preserve">SAM-HYM-C007206a</t>
  </si>
  <si>
    <t xml:space="preserve">example</t>
  </si>
  <si>
    <t xml:space="preserve">record as</t>
  </si>
  <si>
    <t xml:space="preserve">full dates</t>
  </si>
  <si>
    <t xml:space="preserve">June 17, 2004</t>
  </si>
  <si>
    <t xml:space="preserve">2004-06-17</t>
  </si>
  <si>
    <t xml:space="preserve">partial dates (month, year)</t>
  </si>
  <si>
    <t xml:space="preserve">May 1996</t>
  </si>
  <si>
    <t xml:space="preserve">1996-05</t>
  </si>
  <si>
    <t xml:space="preserve">partial dates (year only)</t>
  </si>
  <si>
    <t xml:space="preserve">2001</t>
  </si>
  <si>
    <t xml:space="preserve">Converting Latitude and Longitudes to Decimal degrees</t>
  </si>
  <si>
    <t xml:space="preserve">Formulas for converting latitude and longitude in Excel</t>
  </si>
  <si>
    <t xml:space="preserve">To convert degree-minute-second format into decimal degrees:</t>
  </si>
  <si>
    <t xml:space="preserve">decimal degrees= degrees+(minutes/60)+(seconds/3600)</t>
  </si>
  <si>
    <t xml:space="preserve">To convert integer degrees-decimal minute format into decimal degrees:</t>
  </si>
  <si>
    <t xml:space="preserve">decimal degrees= integer degree+(decimal minutes/60)</t>
  </si>
  <si>
    <t xml:space="preserve">TopoFinder webpage for latitude and longitude conversion</t>
  </si>
  <si>
    <t xml:space="preserve">http://nris.mt.gov/wis/location/LatLong.asp</t>
  </si>
  <si>
    <t xml:space="preserve">AntWeb Country Name</t>
  </si>
  <si>
    <t xml:space="preserve">ISO 3166</t>
  </si>
  <si>
    <t xml:space="preserve">Notes</t>
  </si>
  <si>
    <t xml:space="preserve">Afghanistan</t>
  </si>
  <si>
    <t xml:space="preserve">AF</t>
  </si>
  <si>
    <t xml:space="preserve">Åland Islands</t>
  </si>
  <si>
    <t xml:space="preserve">AX</t>
  </si>
  <si>
    <t xml:space="preserve">Albania</t>
  </si>
  <si>
    <t xml:space="preserve">AL</t>
  </si>
  <si>
    <t xml:space="preserve">Algeria</t>
  </si>
  <si>
    <t xml:space="preserve">DZ</t>
  </si>
  <si>
    <t xml:space="preserve">American Samoa</t>
  </si>
  <si>
    <t xml:space="preserve">AS</t>
  </si>
  <si>
    <t xml:space="preserve">Andorra</t>
  </si>
  <si>
    <t xml:space="preserve">AD</t>
  </si>
  <si>
    <t xml:space="preserve">AO</t>
  </si>
  <si>
    <t xml:space="preserve">Anguilla</t>
  </si>
  <si>
    <t xml:space="preserve">AI</t>
  </si>
  <si>
    <t xml:space="preserve">Antarctica</t>
  </si>
  <si>
    <t xml:space="preserve">AQ</t>
  </si>
  <si>
    <t xml:space="preserve">Antigua and Barbuda</t>
  </si>
  <si>
    <t xml:space="preserve">AG</t>
  </si>
  <si>
    <t xml:space="preserve">Argentina</t>
  </si>
  <si>
    <t xml:space="preserve">AR</t>
  </si>
  <si>
    <t xml:space="preserve">Armenia</t>
  </si>
  <si>
    <t xml:space="preserve">AM</t>
  </si>
  <si>
    <t xml:space="preserve">Aruba</t>
  </si>
  <si>
    <t xml:space="preserve">AW</t>
  </si>
  <si>
    <t xml:space="preserve">AU</t>
  </si>
  <si>
    <t xml:space="preserve">Austria</t>
  </si>
  <si>
    <t xml:space="preserve">AT</t>
  </si>
  <si>
    <t xml:space="preserve">Azerbaijan</t>
  </si>
  <si>
    <t xml:space="preserve">AZ</t>
  </si>
  <si>
    <t xml:space="preserve">Bahamas</t>
  </si>
  <si>
    <t xml:space="preserve">BS</t>
  </si>
  <si>
    <t xml:space="preserve">Bahrain</t>
  </si>
  <si>
    <t xml:space="preserve">BH</t>
  </si>
  <si>
    <t xml:space="preserve">Bangladesh</t>
  </si>
  <si>
    <t xml:space="preserve">BD</t>
  </si>
  <si>
    <t xml:space="preserve">Barbados</t>
  </si>
  <si>
    <t xml:space="preserve">BB</t>
  </si>
  <si>
    <t xml:space="preserve">Belarus</t>
  </si>
  <si>
    <t xml:space="preserve">BY</t>
  </si>
  <si>
    <t xml:space="preserve">Previously named "Byelorussian S.S.R."</t>
  </si>
  <si>
    <t xml:space="preserve">Belgium</t>
  </si>
  <si>
    <t xml:space="preserve">BE</t>
  </si>
  <si>
    <t xml:space="preserve">BZ</t>
  </si>
  <si>
    <t xml:space="preserve">Benin</t>
  </si>
  <si>
    <t xml:space="preserve">BJ</t>
  </si>
  <si>
    <t xml:space="preserve">Previously named "Dahomey" DY</t>
  </si>
  <si>
    <t xml:space="preserve">Bermuda</t>
  </si>
  <si>
    <t xml:space="preserve">BM</t>
  </si>
  <si>
    <t xml:space="preserve">Bhutan</t>
  </si>
  <si>
    <t xml:space="preserve">BT</t>
  </si>
  <si>
    <t xml:space="preserve">Bolivia</t>
  </si>
  <si>
    <t xml:space="preserve">BO</t>
  </si>
  <si>
    <t xml:space="preserve">Bonaire, Sint Eustatius and Saba</t>
  </si>
  <si>
    <t xml:space="preserve">BQ</t>
  </si>
  <si>
    <t xml:space="preserve">Formerly Netherlands Antilles (AN), which was this entity plus Curaçao</t>
  </si>
  <si>
    <t xml:space="preserve">Bosnia and Herzegovina</t>
  </si>
  <si>
    <t xml:space="preserve">BA</t>
  </si>
  <si>
    <t xml:space="preserve">Botswana</t>
  </si>
  <si>
    <t xml:space="preserve">BW</t>
  </si>
  <si>
    <t xml:space="preserve">Bouvet Island</t>
  </si>
  <si>
    <t xml:space="preserve">BV</t>
  </si>
  <si>
    <t xml:space="preserve">BR</t>
  </si>
  <si>
    <t xml:space="preserve">British Indian Ocean Territory</t>
  </si>
  <si>
    <t xml:space="preserve">IO</t>
  </si>
  <si>
    <t xml:space="preserve">Includes Diego Garcia</t>
  </si>
  <si>
    <t xml:space="preserve">Brunei</t>
  </si>
  <si>
    <t xml:space="preserve">BN</t>
  </si>
  <si>
    <t xml:space="preserve">Bulgaria</t>
  </si>
  <si>
    <t xml:space="preserve">BG</t>
  </si>
  <si>
    <t xml:space="preserve">Burkina Faso</t>
  </si>
  <si>
    <t xml:space="preserve">BF</t>
  </si>
  <si>
    <t xml:space="preserve">Previously named "Upper Volta" HV</t>
  </si>
  <si>
    <t xml:space="preserve">Burundi</t>
  </si>
  <si>
    <t xml:space="preserve">BI</t>
  </si>
  <si>
    <t xml:space="preserve">Cambodia</t>
  </si>
  <si>
    <t xml:space="preserve">KH</t>
  </si>
  <si>
    <t xml:space="preserve">Previously named "Kampuchea"</t>
  </si>
  <si>
    <t xml:space="preserve">CM</t>
  </si>
  <si>
    <t xml:space="preserve">Canada</t>
  </si>
  <si>
    <t xml:space="preserve">CA</t>
  </si>
  <si>
    <t xml:space="preserve">Cape Verde</t>
  </si>
  <si>
    <t xml:space="preserve">CV</t>
  </si>
  <si>
    <t xml:space="preserve">Cayman Islands</t>
  </si>
  <si>
    <t xml:space="preserve">KY</t>
  </si>
  <si>
    <t xml:space="preserve">Central African Republic</t>
  </si>
  <si>
    <t xml:space="preserve">CF</t>
  </si>
  <si>
    <t xml:space="preserve">Chad</t>
  </si>
  <si>
    <t xml:space="preserve">TD</t>
  </si>
  <si>
    <t xml:space="preserve">Code taken from "Tchad" (French)</t>
  </si>
  <si>
    <t xml:space="preserve">Chile</t>
  </si>
  <si>
    <t xml:space="preserve">CL</t>
  </si>
  <si>
    <t xml:space="preserve">China</t>
  </si>
  <si>
    <t xml:space="preserve">CN</t>
  </si>
  <si>
    <t xml:space="preserve">Officially the People's Republic of China</t>
  </si>
  <si>
    <t xml:space="preserve">Christmas Island</t>
  </si>
  <si>
    <t xml:space="preserve">CX</t>
  </si>
  <si>
    <t xml:space="preserve">Cocos (Keeling) Islands</t>
  </si>
  <si>
    <t xml:space="preserve">CC</t>
  </si>
  <si>
    <t xml:space="preserve">CO</t>
  </si>
  <si>
    <t xml:space="preserve">Comoros</t>
  </si>
  <si>
    <t xml:space="preserve">KM</t>
  </si>
  <si>
    <t xml:space="preserve">Republic of the Congo</t>
  </si>
  <si>
    <t xml:space="preserve">CG</t>
  </si>
  <si>
    <t xml:space="preserve">Sometimes called Congo-Brazzaville</t>
  </si>
  <si>
    <t xml:space="preserve">Democratic Republic of the Congo</t>
  </si>
  <si>
    <t xml:space="preserve">CD</t>
  </si>
  <si>
    <t xml:space="preserve">Previously named "Zaire" ZR</t>
  </si>
  <si>
    <t xml:space="preserve">Cook Islands</t>
  </si>
  <si>
    <t xml:space="preserve">CK</t>
  </si>
  <si>
    <t xml:space="preserve">CR</t>
  </si>
  <si>
    <t xml:space="preserve">Côte d'Ivoire</t>
  </si>
  <si>
    <t xml:space="preserve">CI</t>
  </si>
  <si>
    <t xml:space="preserve">Also known as Ivory Coast</t>
  </si>
  <si>
    <t xml:space="preserve">Croatia</t>
  </si>
  <si>
    <t xml:space="preserve">HR</t>
  </si>
  <si>
    <t xml:space="preserve">Code taken from "Hrvatska" (Croatian)</t>
  </si>
  <si>
    <t xml:space="preserve">Cuba</t>
  </si>
  <si>
    <t xml:space="preserve">CU</t>
  </si>
  <si>
    <t xml:space="preserve">Curaçao</t>
  </si>
  <si>
    <t xml:space="preserve">CW</t>
  </si>
  <si>
    <t xml:space="preserve">Formerly Netherlands Antilles (AN), which was Curaçao plus Bonaire, Sint Eustatius and Saba</t>
  </si>
  <si>
    <t xml:space="preserve">Cyprus</t>
  </si>
  <si>
    <t xml:space="preserve">CY</t>
  </si>
  <si>
    <t xml:space="preserve">Czech Republic</t>
  </si>
  <si>
    <t xml:space="preserve">CZ</t>
  </si>
  <si>
    <t xml:space="preserve">Denmark</t>
  </si>
  <si>
    <t xml:space="preserve">DK</t>
  </si>
  <si>
    <t xml:space="preserve">Djibouti</t>
  </si>
  <si>
    <t xml:space="preserve">DJ</t>
  </si>
  <si>
    <t xml:space="preserve">Previously named "French Territory of the Afars and the Issas" AI</t>
  </si>
  <si>
    <t xml:space="preserve">Dominica</t>
  </si>
  <si>
    <t xml:space="preserve">DM</t>
  </si>
  <si>
    <t xml:space="preserve">Dominican Republic</t>
  </si>
  <si>
    <t xml:space="preserve">DO</t>
  </si>
  <si>
    <t xml:space="preserve">Ecuador</t>
  </si>
  <si>
    <t xml:space="preserve">EC</t>
  </si>
  <si>
    <t xml:space="preserve">Egypt</t>
  </si>
  <si>
    <t xml:space="preserve">EG</t>
  </si>
  <si>
    <t xml:space="preserve">SV</t>
  </si>
  <si>
    <t xml:space="preserve">Equatorial Guinea</t>
  </si>
  <si>
    <t xml:space="preserve">GQ</t>
  </si>
  <si>
    <t xml:space="preserve">Eritrea</t>
  </si>
  <si>
    <t xml:space="preserve">ER</t>
  </si>
  <si>
    <t xml:space="preserve">Estonia</t>
  </si>
  <si>
    <t xml:space="preserve">EE</t>
  </si>
  <si>
    <t xml:space="preserve">Ethiopia</t>
  </si>
  <si>
    <t xml:space="preserve">ET</t>
  </si>
  <si>
    <t xml:space="preserve">Falkland Islands</t>
  </si>
  <si>
    <t xml:space="preserve">FK</t>
  </si>
  <si>
    <t xml:space="preserve">Faroe Islands</t>
  </si>
  <si>
    <t xml:space="preserve">FO</t>
  </si>
  <si>
    <t xml:space="preserve">Fiji</t>
  </si>
  <si>
    <t xml:space="preserve">FJ</t>
  </si>
  <si>
    <t xml:space="preserve">Finland</t>
  </si>
  <si>
    <t xml:space="preserve">FI</t>
  </si>
  <si>
    <t xml:space="preserve">France</t>
  </si>
  <si>
    <t xml:space="preserve">FR</t>
  </si>
  <si>
    <t xml:space="preserve">French Guiana</t>
  </si>
  <si>
    <t xml:space="preserve">GF</t>
  </si>
  <si>
    <t xml:space="preserve">French Polynesia</t>
  </si>
  <si>
    <t xml:space="preserve">PF</t>
  </si>
  <si>
    <t xml:space="preserve">Includes Clipperton Island</t>
  </si>
  <si>
    <t xml:space="preserve">French Southern Territories</t>
  </si>
  <si>
    <t xml:space="preserve">TF</t>
  </si>
  <si>
    <t xml:space="preserve">Gabon</t>
  </si>
  <si>
    <t xml:space="preserve">GA</t>
  </si>
  <si>
    <t xml:space="preserve">Gambia</t>
  </si>
  <si>
    <t xml:space="preserve">GM</t>
  </si>
  <si>
    <t xml:space="preserve">Georgia</t>
  </si>
  <si>
    <t xml:space="preserve">GE</t>
  </si>
  <si>
    <t xml:space="preserve">GE previously represented Gilbert and Ellice Islands</t>
  </si>
  <si>
    <t xml:space="preserve">Germany</t>
  </si>
  <si>
    <t xml:space="preserve">DE</t>
  </si>
  <si>
    <t xml:space="preserve">Code taken from "Deutschland" (German)</t>
  </si>
  <si>
    <t xml:space="preserve">Ghana</t>
  </si>
  <si>
    <t xml:space="preserve">GH</t>
  </si>
  <si>
    <t xml:space="preserve">Gibraltar</t>
  </si>
  <si>
    <t xml:space="preserve">GI</t>
  </si>
  <si>
    <t xml:space="preserve">Greece</t>
  </si>
  <si>
    <t xml:space="preserve">GR</t>
  </si>
  <si>
    <t xml:space="preserve">Greenland</t>
  </si>
  <si>
    <t xml:space="preserve">GL</t>
  </si>
  <si>
    <t xml:space="preserve">Grenada</t>
  </si>
  <si>
    <t xml:space="preserve">GD</t>
  </si>
  <si>
    <t xml:space="preserve">Guadeloupe</t>
  </si>
  <si>
    <t xml:space="preserve">GP</t>
  </si>
  <si>
    <t xml:space="preserve">Guam</t>
  </si>
  <si>
    <t xml:space="preserve">GU</t>
  </si>
  <si>
    <t xml:space="preserve">GT</t>
  </si>
  <si>
    <t xml:space="preserve">Guernsey</t>
  </si>
  <si>
    <t xml:space="preserve">GG</t>
  </si>
  <si>
    <t xml:space="preserve">Guinea</t>
  </si>
  <si>
    <t xml:space="preserve">GN</t>
  </si>
  <si>
    <t xml:space="preserve">Guinea-Bissau</t>
  </si>
  <si>
    <t xml:space="preserve">GW</t>
  </si>
  <si>
    <t xml:space="preserve">Guyana</t>
  </si>
  <si>
    <t xml:space="preserve">GY</t>
  </si>
  <si>
    <t xml:space="preserve">Haiti</t>
  </si>
  <si>
    <t xml:space="preserve">HT</t>
  </si>
  <si>
    <t xml:space="preserve">Heard Island and McDonald Islands</t>
  </si>
  <si>
    <t xml:space="preserve">HM</t>
  </si>
  <si>
    <t xml:space="preserve">Vatican City</t>
  </si>
  <si>
    <t xml:space="preserve">VA</t>
  </si>
  <si>
    <t xml:space="preserve">Administered by the Holy See. Previously named "Vatican City State (Holy See)"</t>
  </si>
  <si>
    <t xml:space="preserve">HN</t>
  </si>
  <si>
    <t xml:space="preserve">Hong Kong</t>
  </si>
  <si>
    <t xml:space="preserve">HK</t>
  </si>
  <si>
    <t xml:space="preserve">Hungary</t>
  </si>
  <si>
    <t xml:space="preserve">HU</t>
  </si>
  <si>
    <t xml:space="preserve">Iceland</t>
  </si>
  <si>
    <t xml:space="preserve">IS</t>
  </si>
  <si>
    <t xml:space="preserve">India</t>
  </si>
  <si>
    <t xml:space="preserve">IN</t>
  </si>
  <si>
    <t xml:space="preserve">Indonesia</t>
  </si>
  <si>
    <t xml:space="preserve">ID</t>
  </si>
  <si>
    <t xml:space="preserve">Iran</t>
  </si>
  <si>
    <t xml:space="preserve">IR</t>
  </si>
  <si>
    <t xml:space="preserve">Iraq</t>
  </si>
  <si>
    <t xml:space="preserve">IQ</t>
  </si>
  <si>
    <t xml:space="preserve">Ireland</t>
  </si>
  <si>
    <t xml:space="preserve">IE</t>
  </si>
  <si>
    <t xml:space="preserve">Isle of Man</t>
  </si>
  <si>
    <t xml:space="preserve">IM</t>
  </si>
  <si>
    <t xml:space="preserve">Israel</t>
  </si>
  <si>
    <t xml:space="preserve">IL</t>
  </si>
  <si>
    <t xml:space="preserve">Italy</t>
  </si>
  <si>
    <t xml:space="preserve">IT</t>
  </si>
  <si>
    <t xml:space="preserve">Jamaica</t>
  </si>
  <si>
    <t xml:space="preserve">JM</t>
  </si>
  <si>
    <t xml:space="preserve">Japan</t>
  </si>
  <si>
    <t xml:space="preserve">JP</t>
  </si>
  <si>
    <t xml:space="preserve">Jersey</t>
  </si>
  <si>
    <t xml:space="preserve">JE</t>
  </si>
  <si>
    <t xml:space="preserve">Jordan</t>
  </si>
  <si>
    <t xml:space="preserve">JO</t>
  </si>
  <si>
    <t xml:space="preserve">Kazakhstan</t>
  </si>
  <si>
    <t xml:space="preserve">KZ</t>
  </si>
  <si>
    <t xml:space="preserve">Previously named "Kazakstan"</t>
  </si>
  <si>
    <t xml:space="preserve">Kenya</t>
  </si>
  <si>
    <t xml:space="preserve">KE</t>
  </si>
  <si>
    <t xml:space="preserve">Kiribati</t>
  </si>
  <si>
    <t xml:space="preserve">KI</t>
  </si>
  <si>
    <t xml:space="preserve">North Korea</t>
  </si>
  <si>
    <t xml:space="preserve">KP</t>
  </si>
  <si>
    <t xml:space="preserve">South Korea</t>
  </si>
  <si>
    <t xml:space="preserve">KR</t>
  </si>
  <si>
    <t xml:space="preserve">Kuwait</t>
  </si>
  <si>
    <t xml:space="preserve">KW</t>
  </si>
  <si>
    <t xml:space="preserve">Kyrgyzstan</t>
  </si>
  <si>
    <t xml:space="preserve">KG</t>
  </si>
  <si>
    <t xml:space="preserve">Laos</t>
  </si>
  <si>
    <t xml:space="preserve">LA</t>
  </si>
  <si>
    <t xml:space="preserve">Latvia</t>
  </si>
  <si>
    <t xml:space="preserve">LV</t>
  </si>
  <si>
    <t xml:space="preserve">Lebanon</t>
  </si>
  <si>
    <t xml:space="preserve">LB</t>
  </si>
  <si>
    <t xml:space="preserve">Lesotho</t>
  </si>
  <si>
    <t xml:space="preserve">LS</t>
  </si>
  <si>
    <t xml:space="preserve">Liberia</t>
  </si>
  <si>
    <t xml:space="preserve">LR</t>
  </si>
  <si>
    <t xml:space="preserve">Libya</t>
  </si>
  <si>
    <t xml:space="preserve">LY</t>
  </si>
  <si>
    <t xml:space="preserve">Liechtenstein</t>
  </si>
  <si>
    <t xml:space="preserve">LI</t>
  </si>
  <si>
    <t xml:space="preserve">Lithuania</t>
  </si>
  <si>
    <t xml:space="preserve">LT</t>
  </si>
  <si>
    <t xml:space="preserve">Luxembourg</t>
  </si>
  <si>
    <t xml:space="preserve">LU</t>
  </si>
  <si>
    <t xml:space="preserve">Macao</t>
  </si>
  <si>
    <t xml:space="preserve">MO</t>
  </si>
  <si>
    <t xml:space="preserve">Previously named "Macau"</t>
  </si>
  <si>
    <t xml:space="preserve">Macedonia</t>
  </si>
  <si>
    <t xml:space="preserve">MK</t>
  </si>
  <si>
    <t xml:space="preserve">MG</t>
  </si>
  <si>
    <t xml:space="preserve">Malawi</t>
  </si>
  <si>
    <t xml:space="preserve">MW</t>
  </si>
  <si>
    <t xml:space="preserve">MY</t>
  </si>
  <si>
    <t xml:space="preserve">Maldives</t>
  </si>
  <si>
    <t xml:space="preserve">MV</t>
  </si>
  <si>
    <t xml:space="preserve">Mali</t>
  </si>
  <si>
    <t xml:space="preserve">ML</t>
  </si>
  <si>
    <t xml:space="preserve">Malta</t>
  </si>
  <si>
    <t xml:space="preserve">MT</t>
  </si>
  <si>
    <t xml:space="preserve">Marshall Islands</t>
  </si>
  <si>
    <t xml:space="preserve">MH</t>
  </si>
  <si>
    <t xml:space="preserve">Martinique</t>
  </si>
  <si>
    <t xml:space="preserve">MQ</t>
  </si>
  <si>
    <t xml:space="preserve">Mauritania</t>
  </si>
  <si>
    <t xml:space="preserve">MR</t>
  </si>
  <si>
    <t xml:space="preserve">Mauritius</t>
  </si>
  <si>
    <t xml:space="preserve">MU</t>
  </si>
  <si>
    <t xml:space="preserve">Mayotte</t>
  </si>
  <si>
    <t xml:space="preserve">YT</t>
  </si>
  <si>
    <t xml:space="preserve">MX</t>
  </si>
  <si>
    <t xml:space="preserve">Micronesia</t>
  </si>
  <si>
    <t xml:space="preserve">FM</t>
  </si>
  <si>
    <t xml:space="preserve">Moldova</t>
  </si>
  <si>
    <t xml:space="preserve">MD</t>
  </si>
  <si>
    <t xml:space="preserve">Monaco</t>
  </si>
  <si>
    <t xml:space="preserve">MC</t>
  </si>
  <si>
    <t xml:space="preserve">Mongolia</t>
  </si>
  <si>
    <t xml:space="preserve">MN</t>
  </si>
  <si>
    <t xml:space="preserve">Montenegro</t>
  </si>
  <si>
    <t xml:space="preserve">ME</t>
  </si>
  <si>
    <t xml:space="preserve">Montserrat</t>
  </si>
  <si>
    <t xml:space="preserve">MS</t>
  </si>
  <si>
    <t xml:space="preserve">Morocco</t>
  </si>
  <si>
    <t xml:space="preserve">MA</t>
  </si>
  <si>
    <t xml:space="preserve">Mozambique</t>
  </si>
  <si>
    <t xml:space="preserve">MZ</t>
  </si>
  <si>
    <t xml:space="preserve">Myanmar</t>
  </si>
  <si>
    <t xml:space="preserve">MM</t>
  </si>
  <si>
    <t xml:space="preserve">Previously named "Burma" BU</t>
  </si>
  <si>
    <t xml:space="preserve">Namibia</t>
  </si>
  <si>
    <t xml:space="preserve">NA</t>
  </si>
  <si>
    <t xml:space="preserve">Nauru</t>
  </si>
  <si>
    <t xml:space="preserve">NR</t>
  </si>
  <si>
    <t xml:space="preserve">Nepal</t>
  </si>
  <si>
    <t xml:space="preserve">NP</t>
  </si>
  <si>
    <t xml:space="preserve">Netherlands</t>
  </si>
  <si>
    <t xml:space="preserve">NL</t>
  </si>
  <si>
    <t xml:space="preserve">New Caledonia</t>
  </si>
  <si>
    <t xml:space="preserve">NC</t>
  </si>
  <si>
    <t xml:space="preserve">New Zealand</t>
  </si>
  <si>
    <t xml:space="preserve">NZ</t>
  </si>
  <si>
    <t xml:space="preserve">NI</t>
  </si>
  <si>
    <t xml:space="preserve">Niger</t>
  </si>
  <si>
    <t xml:space="preserve">NE</t>
  </si>
  <si>
    <t xml:space="preserve">Nigeria</t>
  </si>
  <si>
    <t xml:space="preserve">NG</t>
  </si>
  <si>
    <t xml:space="preserve">Niue</t>
  </si>
  <si>
    <t xml:space="preserve">NU</t>
  </si>
  <si>
    <t xml:space="preserve">Norfolk Island</t>
  </si>
  <si>
    <t xml:space="preserve">NF</t>
  </si>
  <si>
    <t xml:space="preserve">Northern Mariana Islands</t>
  </si>
  <si>
    <t xml:space="preserve">MP</t>
  </si>
  <si>
    <t xml:space="preserve">Norway</t>
  </si>
  <si>
    <t xml:space="preserve">NO</t>
  </si>
  <si>
    <t xml:space="preserve">Oman</t>
  </si>
  <si>
    <t xml:space="preserve">OM</t>
  </si>
  <si>
    <t xml:space="preserve">Pakistan</t>
  </si>
  <si>
    <t xml:space="preserve">PK</t>
  </si>
  <si>
    <t xml:space="preserve">Palau</t>
  </si>
  <si>
    <t xml:space="preserve">PW</t>
  </si>
  <si>
    <t xml:space="preserve">Palestinian Territory</t>
  </si>
  <si>
    <t xml:space="preserve">PS</t>
  </si>
  <si>
    <t xml:space="preserve">Panama</t>
  </si>
  <si>
    <t xml:space="preserve">PA</t>
  </si>
  <si>
    <t xml:space="preserve">Papua New Guinea</t>
  </si>
  <si>
    <t xml:space="preserve">PG</t>
  </si>
  <si>
    <t xml:space="preserve">Paraguay</t>
  </si>
  <si>
    <t xml:space="preserve">PY</t>
  </si>
  <si>
    <t xml:space="preserve">Peru</t>
  </si>
  <si>
    <t xml:space="preserve">PE</t>
  </si>
  <si>
    <t xml:space="preserve">Philippines</t>
  </si>
  <si>
    <t xml:space="preserve">PH</t>
  </si>
  <si>
    <t xml:space="preserve">Pitcairn</t>
  </si>
  <si>
    <t xml:space="preserve">PN</t>
  </si>
  <si>
    <t xml:space="preserve">Poland</t>
  </si>
  <si>
    <t xml:space="preserve">PL</t>
  </si>
  <si>
    <t xml:space="preserve">Portugal</t>
  </si>
  <si>
    <t xml:space="preserve">PT</t>
  </si>
  <si>
    <t xml:space="preserve">Puerto Rico</t>
  </si>
  <si>
    <t xml:space="preserve">PR</t>
  </si>
  <si>
    <t xml:space="preserve">Qatar</t>
  </si>
  <si>
    <t xml:space="preserve">QA</t>
  </si>
  <si>
    <t xml:space="preserve">Réunion</t>
  </si>
  <si>
    <t xml:space="preserve">RE</t>
  </si>
  <si>
    <t xml:space="preserve">Romania</t>
  </si>
  <si>
    <t xml:space="preserve">RO</t>
  </si>
  <si>
    <t xml:space="preserve">Russia</t>
  </si>
  <si>
    <t xml:space="preserve">RU</t>
  </si>
  <si>
    <t xml:space="preserve">Rwanda</t>
  </si>
  <si>
    <t xml:space="preserve">RW</t>
  </si>
  <si>
    <t xml:space="preserve">Saint Barthélemy</t>
  </si>
  <si>
    <t xml:space="preserve">BL</t>
  </si>
  <si>
    <t xml:space="preserve">Saint Helena, Ascension and Tristan da Cunha</t>
  </si>
  <si>
    <t xml:space="preserve">SH</t>
  </si>
  <si>
    <t xml:space="preserve">Previously known as Saint Helena and Dependencies</t>
  </si>
  <si>
    <t xml:space="preserve">Saint Kitts and Nevis</t>
  </si>
  <si>
    <t xml:space="preserve">KN</t>
  </si>
  <si>
    <t xml:space="preserve">Previously named "Saint Kitts-Nevis-Anguilla"</t>
  </si>
  <si>
    <t xml:space="preserve">Saint Lucia</t>
  </si>
  <si>
    <t xml:space="preserve">LC</t>
  </si>
  <si>
    <t xml:space="preserve">Saint Martin</t>
  </si>
  <si>
    <t xml:space="preserve">SX</t>
  </si>
  <si>
    <t xml:space="preserve">This encompasses the northern parts of Saint Martin island and neighbouring islets. The southern part of the island is Sint Maarten.</t>
  </si>
  <si>
    <t xml:space="preserve">Saint Pierre and Miquelon</t>
  </si>
  <si>
    <t xml:space="preserve">PM</t>
  </si>
  <si>
    <t xml:space="preserve">Saint Vincent and the Grenadines</t>
  </si>
  <si>
    <t xml:space="preserve">VC</t>
  </si>
  <si>
    <t xml:space="preserve">Samoa</t>
  </si>
  <si>
    <t xml:space="preserve">WS</t>
  </si>
  <si>
    <t xml:space="preserve">San Marino</t>
  </si>
  <si>
    <t xml:space="preserve">SM</t>
  </si>
  <si>
    <t xml:space="preserve">Sao Tome and Principe</t>
  </si>
  <si>
    <t xml:space="preserve">ST</t>
  </si>
  <si>
    <t xml:space="preserve">SA</t>
  </si>
  <si>
    <t xml:space="preserve">Senegal</t>
  </si>
  <si>
    <t xml:space="preserve">SN</t>
  </si>
  <si>
    <t xml:space="preserve">Serbia</t>
  </si>
  <si>
    <t xml:space="preserve">RS</t>
  </si>
  <si>
    <t xml:space="preserve">Seychelles</t>
  </si>
  <si>
    <t xml:space="preserve">SC</t>
  </si>
  <si>
    <t xml:space="preserve">Sierra Leone</t>
  </si>
  <si>
    <t xml:space="preserve">SL</t>
  </si>
  <si>
    <t xml:space="preserve">Singapore</t>
  </si>
  <si>
    <t xml:space="preserve">SG</t>
  </si>
  <si>
    <t xml:space="preserve">Sint Maarten</t>
  </si>
  <si>
    <t xml:space="preserve">MF</t>
  </si>
  <si>
    <t xml:space="preserve">This encompasses the southern half of the Caribbean island of Saint Martin, while the northern half of the island constitutes the French overseas collectivity of Saint-Martin.</t>
  </si>
  <si>
    <t xml:space="preserve">Slovakia</t>
  </si>
  <si>
    <t xml:space="preserve">SK</t>
  </si>
  <si>
    <t xml:space="preserve">SK previously represented Sikkim</t>
  </si>
  <si>
    <t xml:space="preserve">Slovenia</t>
  </si>
  <si>
    <t xml:space="preserve">SI</t>
  </si>
  <si>
    <t xml:space="preserve">Solomon Islands</t>
  </si>
  <si>
    <t xml:space="preserve">SB</t>
  </si>
  <si>
    <t xml:space="preserve">Somalia</t>
  </si>
  <si>
    <t xml:space="preserve">SO</t>
  </si>
  <si>
    <t xml:space="preserve">ZA</t>
  </si>
  <si>
    <t xml:space="preserve">Code taken from "Zuid-Afrika" (Dutch)</t>
  </si>
  <si>
    <t xml:space="preserve">South Georgia and the South Sandwich Islands</t>
  </si>
  <si>
    <t xml:space="preserve">GS</t>
  </si>
  <si>
    <t xml:space="preserve">South Sudan</t>
  </si>
  <si>
    <t xml:space="preserve">SS</t>
  </si>
  <si>
    <t xml:space="preserve">Spain</t>
  </si>
  <si>
    <t xml:space="preserve">ES</t>
  </si>
  <si>
    <t xml:space="preserve">Includes Canary Islands, Ceuta and Melilla. Code taken from "España" (Spanish)</t>
  </si>
  <si>
    <t xml:space="preserve">Sri Lanka</t>
  </si>
  <si>
    <t xml:space="preserve">LK</t>
  </si>
  <si>
    <t xml:space="preserve">Sudan</t>
  </si>
  <si>
    <t xml:space="preserve">SD</t>
  </si>
  <si>
    <t xml:space="preserve">Suriname</t>
  </si>
  <si>
    <t xml:space="preserve">SR</t>
  </si>
  <si>
    <t xml:space="preserve">Svalbard and Jan Mayen</t>
  </si>
  <si>
    <t xml:space="preserve">SJ</t>
  </si>
  <si>
    <t xml:space="preserve">Swaziland</t>
  </si>
  <si>
    <t xml:space="preserve">SZ</t>
  </si>
  <si>
    <t xml:space="preserve">Sweden</t>
  </si>
  <si>
    <t xml:space="preserve">SE</t>
  </si>
  <si>
    <t xml:space="preserve">Switzerland</t>
  </si>
  <si>
    <t xml:space="preserve">CH</t>
  </si>
  <si>
    <t xml:space="preserve">Code taken from "Confoederatio Helvetica" (Latin)</t>
  </si>
  <si>
    <t xml:space="preserve">Syria</t>
  </si>
  <si>
    <t xml:space="preserve">SY</t>
  </si>
  <si>
    <t xml:space="preserve">Taiwan</t>
  </si>
  <si>
    <t xml:space="preserve">TW</t>
  </si>
  <si>
    <t xml:space="preserve">Tajikistan</t>
  </si>
  <si>
    <t xml:space="preserve">TJ</t>
  </si>
  <si>
    <t xml:space="preserve">Tanzania</t>
  </si>
  <si>
    <t xml:space="preserve">TZ</t>
  </si>
  <si>
    <t xml:space="preserve">Thailand</t>
  </si>
  <si>
    <t xml:space="preserve">TH</t>
  </si>
  <si>
    <t xml:space="preserve">Timor-Leste</t>
  </si>
  <si>
    <t xml:space="preserve">TL</t>
  </si>
  <si>
    <t xml:space="preserve">Previously used the code TP. Previously named "East Timor"</t>
  </si>
  <si>
    <t xml:space="preserve">Togo</t>
  </si>
  <si>
    <t xml:space="preserve">TG</t>
  </si>
  <si>
    <t xml:space="preserve">Tokelau</t>
  </si>
  <si>
    <t xml:space="preserve">TK</t>
  </si>
  <si>
    <t xml:space="preserve">Tonga</t>
  </si>
  <si>
    <t xml:space="preserve">TO</t>
  </si>
  <si>
    <t xml:space="preserve">Trinidad and Tobago</t>
  </si>
  <si>
    <t xml:space="preserve">TT</t>
  </si>
  <si>
    <t xml:space="preserve">Tunisia</t>
  </si>
  <si>
    <t xml:space="preserve">TN</t>
  </si>
  <si>
    <t xml:space="preserve">Turkey</t>
  </si>
  <si>
    <t xml:space="preserve">TR</t>
  </si>
  <si>
    <t xml:space="preserve">Turkmenistan</t>
  </si>
  <si>
    <t xml:space="preserve">TM</t>
  </si>
  <si>
    <t xml:space="preserve">Turks and Caicos Islands</t>
  </si>
  <si>
    <t xml:space="preserve">TC</t>
  </si>
  <si>
    <t xml:space="preserve">Tuvalu</t>
  </si>
  <si>
    <t xml:space="preserve">TV</t>
  </si>
  <si>
    <t xml:space="preserve">Uganda</t>
  </si>
  <si>
    <t xml:space="preserve">UG</t>
  </si>
  <si>
    <t xml:space="preserve">Ukraine</t>
  </si>
  <si>
    <t xml:space="preserve">UA</t>
  </si>
  <si>
    <t xml:space="preserve">Previously named "Ukrainian S.S.R."</t>
  </si>
  <si>
    <t xml:space="preserve">United Arab Emirates</t>
  </si>
  <si>
    <t xml:space="preserve">AE</t>
  </si>
  <si>
    <t xml:space="preserve">United Kingdom</t>
  </si>
  <si>
    <t xml:space="preserve">GB</t>
  </si>
  <si>
    <t xml:space="preserve">Code taken from "Great Britain"</t>
  </si>
  <si>
    <t xml:space="preserve">US</t>
  </si>
  <si>
    <t xml:space="preserve">United States Minor Outlying Islands</t>
  </si>
  <si>
    <t xml:space="preserve">UM</t>
  </si>
  <si>
    <t xml:space="preserve">Consisting of Baker Island, Howland Island, Jarvis Island, Johnston Atoll, Kingman Reef, Midway Atoll, Navassa Island, Palmyra Atoll, and Wake Island</t>
  </si>
  <si>
    <t xml:space="preserve">Uruguay</t>
  </si>
  <si>
    <t xml:space="preserve">UY</t>
  </si>
  <si>
    <t xml:space="preserve">Uzbekistan</t>
  </si>
  <si>
    <t xml:space="preserve">UZ</t>
  </si>
  <si>
    <t xml:space="preserve">Vanuatu</t>
  </si>
  <si>
    <t xml:space="preserve">VU</t>
  </si>
  <si>
    <t xml:space="preserve">Previously named "New Hebrides" NH</t>
  </si>
  <si>
    <t xml:space="preserve">Venezuela</t>
  </si>
  <si>
    <t xml:space="preserve">VE</t>
  </si>
  <si>
    <t xml:space="preserve">Viet Nam</t>
  </si>
  <si>
    <t xml:space="preserve">VN</t>
  </si>
  <si>
    <t xml:space="preserve">British Virgin Islands</t>
  </si>
  <si>
    <t xml:space="preserve">VG</t>
  </si>
  <si>
    <t xml:space="preserve">U.S. Virgin Islands</t>
  </si>
  <si>
    <t xml:space="preserve">VI</t>
  </si>
  <si>
    <t xml:space="preserve">Wallis and Futuna</t>
  </si>
  <si>
    <t xml:space="preserve">WF</t>
  </si>
  <si>
    <t xml:space="preserve">Western Sahara</t>
  </si>
  <si>
    <t xml:space="preserve">EH</t>
  </si>
  <si>
    <t xml:space="preserve">Previously named "Spanish Sahara"</t>
  </si>
  <si>
    <t xml:space="preserve">Yemen</t>
  </si>
  <si>
    <t xml:space="preserve">YE</t>
  </si>
  <si>
    <t xml:space="preserve">Previously named "Yemen, Republic of"</t>
  </si>
  <si>
    <t xml:space="preserve">Zambia</t>
  </si>
  <si>
    <t xml:space="preserve">ZM</t>
  </si>
  <si>
    <t xml:space="preserve">Zimbabwe</t>
  </si>
  <si>
    <t xml:space="preserve">ZW</t>
  </si>
  <si>
    <t xml:space="preserve">Previously named "Rhodesia" RH</t>
  </si>
  <si>
    <t xml:space="preserve">Bioregion</t>
  </si>
  <si>
    <t xml:space="preserve">description: For limits  in China and Mexico see map at:http://en.wikipedia.org/wiki/File:Ecozones.svg</t>
  </si>
  <si>
    <t xml:space="preserve">Nearctic </t>
  </si>
  <si>
    <t xml:space="preserve">including most of North America</t>
  </si>
  <si>
    <t xml:space="preserve">Neotropic</t>
  </si>
  <si>
    <t xml:space="preserve">including South America and the Caribbean</t>
  </si>
  <si>
    <t xml:space="preserve">including the bulk of Eurasia and North Africa</t>
  </si>
  <si>
    <t xml:space="preserve">Afrotropic</t>
  </si>
  <si>
    <t xml:space="preserve">including Sub-Saharan Africa</t>
  </si>
  <si>
    <t xml:space="preserve">Madagascar and Southwest Indian Ocean Islands including Seychelles, Comoros, Mascarenes</t>
  </si>
  <si>
    <t xml:space="preserve">including the Indian subcontinent and Southeast Asia</t>
  </si>
  <si>
    <t xml:space="preserve">including Australia, New Guinea, and neighboring islands. The northern boundary of this zone is known as the Wallace line.</t>
  </si>
  <si>
    <t xml:space="preserve">Oceania</t>
  </si>
  <si>
    <t xml:space="preserve">Pacific Ocean islands including Polynesia, Melanesia, Micronesia.</t>
  </si>
  <si>
    <t xml:space="preserve">Family</t>
  </si>
  <si>
    <t xml:space="preserve">subfamily</t>
  </si>
  <si>
    <t xml:space="preserve">genus</t>
  </si>
  <si>
    <t xml:space="preserve">species</t>
  </si>
  <si>
    <t xml:space="preserve">comment</t>
  </si>
  <si>
    <t xml:space="preserve">Formicidae</t>
  </si>
  <si>
    <t xml:space="preserve">(Formicidae) </t>
  </si>
  <si>
    <t xml:space="preserve">(indet)</t>
  </si>
  <si>
    <t xml:space="preserve">identified only to family</t>
  </si>
  <si>
    <t xml:space="preserve">Amblyoponinae </t>
  </si>
  <si>
    <t xml:space="preserve">(Amblyoponinae)</t>
  </si>
  <si>
    <t xml:space="preserve">identified only to subfamily</t>
  </si>
  <si>
    <t xml:space="preserve">Amblyopone </t>
  </si>
  <si>
    <t xml:space="preserve">identified only to genus, do not use sp. or undet to indicate indetermined to species. </t>
  </si>
  <si>
    <t xml:space="preserve">Adetomyrma</t>
  </si>
  <si>
    <t xml:space="preserve">MG01</t>
  </si>
  <si>
    <t xml:space="preserve">morphospecies code for Madagscar region</t>
  </si>
  <si>
    <t xml:space="preserve">Amblyopone</t>
  </si>
  <si>
    <t xml:space="preserve">AFRC-TZ01</t>
  </si>
  <si>
    <t xml:space="preserve">morphospecies code for the AFRC collection</t>
  </si>
  <si>
    <t xml:space="preserve">planipilis_cf</t>
  </si>
  <si>
    <t xml:space="preserve">To indicate uncertainty in a name, append _cf or _nr following the name.  Use _cf instead of Formica planipilis?  </t>
  </si>
  <si>
    <t xml:space="preserve">graeffei_nr</t>
  </si>
  <si>
    <t xml:space="preserve"> _cf for taxa that close to or conspecific to named taxon and _nr for taxa that are close to named taxon but not conspecific.  </t>
  </si>
  <si>
    <t xml:space="preserve">Stenamma </t>
  </si>
  <si>
    <t xml:space="preserve">punctatoventre_cfCA01</t>
  </si>
  <si>
    <t xml:space="preserve">punctatoventre_cfCA02</t>
  </si>
  <si>
    <t xml:space="preserve">punctatoventre_cfCA02 is distinct from punctatoventre_cfCA01</t>
  </si>
  <si>
    <t xml:space="preserve">Cerapachyinae</t>
  </si>
  <si>
    <t xml:space="preserve">Cerapachyine_genus1</t>
  </si>
  <si>
    <t xml:space="preserve">unnamed genus in Cerapachyinae, unamed species in Madagascar</t>
  </si>
  <si>
    <t xml:space="preserve">Guidelines for unnamed taxa</t>
  </si>
  <si>
    <t xml:space="preserve">1) "-" or space is the only acceptable character in species names; thus no periods, ? , /, #  in names</t>
  </si>
  <si>
    <t xml:space="preserve">2) genus names must be without spaces, use underscore to join two words.</t>
  </si>
  <si>
    <t xml:space="preserve">3) spaces ok between species and subspecies</t>
  </si>
  <si>
    <t xml:space="preserve">4) nr and cf at end of name, use _cf or _nr</t>
  </si>
  <si>
    <t xml:space="preserve">5) "sp." or "sp" not used as part of name</t>
  </si>
  <si>
    <t xml:space="preserve">6) morphospecies</t>
  </si>
  <si>
    <t xml:space="preserve">a) no dashes between letters and numbers</t>
  </si>
  <si>
    <t xml:space="preserve">b) dashes only between initials and manuscripts names</t>
  </si>
  <si>
    <t xml:space="preserve">c) always include numbers in morphospecies codes</t>
  </si>
  <si>
    <t xml:space="preserve">AMNH</t>
  </si>
  <si>
    <t xml:space="preserve">American Museum of Natural History, New York, NY, USA</t>
  </si>
  <si>
    <t xml:space="preserve">AMSA</t>
  </si>
  <si>
    <t xml:space="preserve">Australian Museum, Sydney, Australia</t>
  </si>
  <si>
    <t xml:space="preserve">Australian National Insect Collection, CSIRO, Canberra, Australia</t>
  </si>
  <si>
    <t xml:space="preserve">BMNH</t>
  </si>
  <si>
    <t xml:space="preserve">Natural History Museum, London, U. K.</t>
  </si>
  <si>
    <t xml:space="preserve">California Academy of Sciences, San Francisco, CA, USA</t>
  </si>
  <si>
    <t xml:space="preserve">CESB</t>
  </si>
  <si>
    <t xml:space="preserve">Centre for Ecological Sciences, Indian Institute of Science, Bangalore, India</t>
  </si>
  <si>
    <t xml:space="preserve">CMNH</t>
  </si>
  <si>
    <t xml:space="preserve">Carnegie Museum of Natural History, Pittsburg, PA, USA</t>
  </si>
  <si>
    <t xml:space="preserve">CPDC</t>
  </si>
  <si>
    <t xml:space="preserve">Jacques Delabie Collection, CEPEC/CEPLAC, Itabuna, Bahia, Brazil</t>
  </si>
  <si>
    <t xml:space="preserve">CUIC</t>
  </si>
  <si>
    <t xml:space="preserve">Cornell University Insect Collection, Ithaca, NY, USA</t>
  </si>
  <si>
    <t xml:space="preserve">DZUC</t>
  </si>
  <si>
    <t xml:space="preserve">Department of Zoology, University of Calicut, Kerala, India</t>
  </si>
  <si>
    <t xml:space="preserve">FRCK</t>
  </si>
  <si>
    <t xml:space="preserve">Forest Research Centre, Kuching, Sarawak, Malaysia</t>
  </si>
  <si>
    <t xml:space="preserve">HNHM</t>
  </si>
  <si>
    <t xml:space="preserve">Hungarian Natural History Museum, Budapest, Hungary</t>
  </si>
  <si>
    <t xml:space="preserve">HZIC</t>
  </si>
  <si>
    <t xml:space="preserve">Herbert Zettel Collection, Vienna, Austria</t>
  </si>
  <si>
    <t xml:space="preserve">JDMC</t>
  </si>
  <si>
    <t xml:space="preserve">J. D. Majer Collection, Curtin University of Technology, Perth, Australia</t>
  </si>
  <si>
    <t xml:space="preserve">KFBG</t>
  </si>
  <si>
    <t xml:space="preserve">Kadoorie Farm and Botanic Garden, Hong Kong, China</t>
  </si>
  <si>
    <t xml:space="preserve">KUBC</t>
  </si>
  <si>
    <t xml:space="preserve">Faculty of Forestry, Kasetsart University, Bangkok, Thailand</t>
  </si>
  <si>
    <t xml:space="preserve">KUEC</t>
  </si>
  <si>
    <t xml:space="preserve">Institute of Tropical Agriculture, Kyushu University, Fukuoka, Japan</t>
  </si>
  <si>
    <t xml:space="preserve">KUES</t>
  </si>
  <si>
    <t xml:space="preserve">Seiki Yamane Collection, Kagoshima University, Kagoshima, Japan</t>
  </si>
  <si>
    <t xml:space="preserve">LACM</t>
  </si>
  <si>
    <t xml:space="preserve">Natural History Museum of Los Angeles County, Los Angeles, CA, USA</t>
  </si>
  <si>
    <t xml:space="preserve">MCSN</t>
  </si>
  <si>
    <t xml:space="preserve">Museo Civico de Historia Natural “Giacomo Doria”, Genoa, Italy</t>
  </si>
  <si>
    <t xml:space="preserve">Museum of Comparative Zoology, Harvard University, Cambridge, MA, USA</t>
  </si>
  <si>
    <t xml:space="preserve">MHNG</t>
  </si>
  <si>
    <t xml:space="preserve">Muséum d’Histoire Naturelle, Geneva, Switzerland</t>
  </si>
  <si>
    <t xml:space="preserve">MNHN</t>
  </si>
  <si>
    <t xml:space="preserve">Muséum National d’Histoire Naturelle, Paris, France</t>
  </si>
  <si>
    <t xml:space="preserve">MRAC</t>
  </si>
  <si>
    <t xml:space="preserve">Musée Royal de l’Afrique Centrale, Tervuren, Belgium</t>
  </si>
  <si>
    <t xml:space="preserve">MZLU</t>
  </si>
  <si>
    <t xml:space="preserve">Museum of Zoology, Lund University, Lund, Sweden</t>
  </si>
  <si>
    <t xml:space="preserve">NHMB</t>
  </si>
  <si>
    <t xml:space="preserve">Naturhistorisches Museum, Basel, Switzerland</t>
  </si>
  <si>
    <t xml:space="preserve">NHMV</t>
  </si>
  <si>
    <t xml:space="preserve">Naturhistorisches Museum, Vienna, Austria</t>
  </si>
  <si>
    <t xml:space="preserve">NMKE</t>
  </si>
  <si>
    <t xml:space="preserve">National Museums of Kenya, Nairobi, Kenya</t>
  </si>
  <si>
    <t xml:space="preserve">NMWN</t>
  </si>
  <si>
    <t xml:space="preserve">National Museum of Namibia, Windhoek, Namibia</t>
  </si>
  <si>
    <t xml:space="preserve">NTUC</t>
  </si>
  <si>
    <t xml:space="preserve">Department of Entomology, National Taiwan University, Taipei, Taiwan</t>
  </si>
  <si>
    <t xml:space="preserve">OXUM</t>
  </si>
  <si>
    <t xml:space="preserve">Hope Entomological Collections, University Museum, Oxford, UK</t>
  </si>
  <si>
    <t xml:space="preserve">P. S. Ward Collection, University of California at Davis, CA, USA</t>
  </si>
  <si>
    <t xml:space="preserve">RMBR</t>
  </si>
  <si>
    <t xml:space="preserve"> Raffles Museum of Biodiversity Research, National University of Singapore, Singapore</t>
  </si>
  <si>
    <t xml:space="preserve">RMNH</t>
  </si>
  <si>
    <t xml:space="preserve">Nationaal Natuurhistorische Museum, Leiden, Netherlands</t>
  </si>
  <si>
    <t xml:space="preserve">ROME</t>
  </si>
  <si>
    <t xml:space="preserve">Royal Ontario Museum, Toronto, Canada</t>
  </si>
  <si>
    <t xml:space="preserve">South African Museum, Cape Town, South Africa</t>
  </si>
  <si>
    <t xml:space="preserve">SMNK</t>
  </si>
  <si>
    <t xml:space="preserve">Staatliches Museum für Naturkunde, Karlsruhe, Germany</t>
  </si>
  <si>
    <t xml:space="preserve">TERC</t>
  </si>
  <si>
    <t xml:space="preserve">Tropical Ecosystems Research Centre, CSIRO, Winnellie, Australia</t>
  </si>
  <si>
    <t xml:space="preserve">UASK</t>
  </si>
  <si>
    <t xml:space="preserve">Institute of Zoology, Ukrainian Academy of Science, Kiev, Ukraine</t>
  </si>
  <si>
    <t xml:space="preserve">Bohart Museum of Entomology, University of California at Davis, CA, USA</t>
  </si>
  <si>
    <t xml:space="preserve">UCRC</t>
  </si>
  <si>
    <t xml:space="preserve">Entomology Research Museum, University of California at Riverside, CA, USA</t>
  </si>
  <si>
    <t xml:space="preserve">Entomology Research Museum, University of Californian at Riverside, CA, USA</t>
  </si>
  <si>
    <t xml:space="preserve">UMSC</t>
  </si>
  <si>
    <t xml:space="preserve">Institute for Tropical Biology and Conservation, Universiti Malaysia Sabah, Kota Kinabalu, Malaysia</t>
  </si>
  <si>
    <t xml:space="preserve">USNM</t>
  </si>
  <si>
    <t xml:space="preserve">National Museum of Natural History, Washington, DC, USA</t>
  </si>
  <si>
    <t xml:space="preserve">ZMAS</t>
  </si>
  <si>
    <t xml:space="preserve">Zoological Institute, Russian Academy of Science, St Petersburg, Russia</t>
  </si>
  <si>
    <t xml:space="preserve">Zoological Institute, Russian Academy of Science, St. Petersburg, Russia</t>
  </si>
  <si>
    <t xml:space="preserve">ZMHB</t>
  </si>
  <si>
    <t xml:space="preserve">Museum für Naturkunde der Humboldt Universität, Berlin, Germany</t>
  </si>
  <si>
    <t xml:space="preserve">ZMPA</t>
  </si>
  <si>
    <t xml:space="preserve">Institute of Zoology, Polish Academy of Sciences, Warsaw, Poland</t>
  </si>
  <si>
    <t xml:space="preserve">ZMUM</t>
  </si>
  <si>
    <t xml:space="preserve">Zoological Museum, University of Moscow, Moscow, Russia</t>
  </si>
  <si>
    <t xml:space="preserve">Museu de Zoologia da USP, São Paulo</t>
  </si>
  <si>
    <t xml:space="preserve">Examples of Acronyms of ant collections</t>
  </si>
</sst>
</file>

<file path=xl/styles.xml><?xml version="1.0" encoding="utf-8"?>
<styleSheet xmlns="http://schemas.openxmlformats.org/spreadsheetml/2006/main">
  <numFmts count="8">
    <numFmt numFmtId="164" formatCode="General"/>
    <numFmt numFmtId="165" formatCode="[$-409]d\-mmm\-yyyy;@"/>
    <numFmt numFmtId="166" formatCode="0.00000"/>
    <numFmt numFmtId="167" formatCode="yyyy\-mm\-dd"/>
    <numFmt numFmtId="168" formatCode="d\-mmm\-yy"/>
    <numFmt numFmtId="169" formatCode="0"/>
    <numFmt numFmtId="170" formatCode="@"/>
    <numFmt numFmtId="171" formatCode="0.00"/>
  </numFmts>
  <fonts count="48">
    <font>
      <sz val="10"/>
      <name val="Arial"/>
      <family val="0"/>
      <charset val="1"/>
    </font>
    <font>
      <sz val="10"/>
      <name val="Arial"/>
      <family val="0"/>
    </font>
    <font>
      <sz val="10"/>
      <name val="Arial"/>
      <family val="0"/>
    </font>
    <font>
      <sz val="10"/>
      <name val="Arial"/>
      <family val="0"/>
    </font>
    <font>
      <sz val="10"/>
      <color rgb="FF000000"/>
      <name val="Arial"/>
      <family val="2"/>
      <charset val="1"/>
    </font>
    <font>
      <sz val="10"/>
      <color rgb="FFFFFFFF"/>
      <name val="Arial"/>
      <family val="2"/>
      <charset val="1"/>
    </font>
    <font>
      <sz val="10"/>
      <color rgb="FF900000"/>
      <name val="Arial"/>
      <family val="2"/>
      <charset val="1"/>
    </font>
    <font>
      <b val="true"/>
      <sz val="10"/>
      <color rgb="FFFF6600"/>
      <name val="Arial"/>
      <family val="2"/>
      <charset val="1"/>
    </font>
    <font>
      <b val="true"/>
      <sz val="10"/>
      <color rgb="FFFFFFFF"/>
      <name val="Arial"/>
      <family val="2"/>
      <charset val="1"/>
    </font>
    <font>
      <i val="true"/>
      <sz val="10"/>
      <color rgb="FF808080"/>
      <name val="Arial"/>
      <family val="2"/>
      <charset val="1"/>
    </font>
    <font>
      <sz val="10"/>
      <color rgb="FF006411"/>
      <name val="Arial"/>
      <family val="2"/>
      <charset val="1"/>
    </font>
    <font>
      <sz val="11"/>
      <color rgb="FF006411"/>
      <name val="Calibri"/>
      <family val="2"/>
      <charset val="1"/>
    </font>
    <font>
      <b val="true"/>
      <sz val="15"/>
      <color rgb="FF003366"/>
      <name val="Arial"/>
      <family val="2"/>
      <charset val="1"/>
    </font>
    <font>
      <b val="true"/>
      <sz val="13"/>
      <color rgb="FF003366"/>
      <name val="Arial"/>
      <family val="2"/>
      <charset val="1"/>
    </font>
    <font>
      <b val="true"/>
      <sz val="11"/>
      <color rgb="FF003366"/>
      <name val="Arial"/>
      <family val="2"/>
      <charset val="1"/>
    </font>
    <font>
      <sz val="10"/>
      <color rgb="FF333399"/>
      <name val="Arial"/>
      <family val="2"/>
      <charset val="1"/>
    </font>
    <font>
      <sz val="10"/>
      <color rgb="FFFF6600"/>
      <name val="Arial"/>
      <family val="2"/>
      <charset val="1"/>
    </font>
    <font>
      <sz val="10"/>
      <color rgb="FF993300"/>
      <name val="Arial"/>
      <family val="2"/>
      <charset val="1"/>
    </font>
    <font>
      <sz val="11"/>
      <color rgb="FF993300"/>
      <name val="Calibri"/>
      <family val="2"/>
      <charset val="1"/>
    </font>
    <font>
      <b val="true"/>
      <sz val="10"/>
      <color rgb="FF333333"/>
      <name val="Arial"/>
      <family val="2"/>
      <charset val="1"/>
    </font>
    <font>
      <b val="true"/>
      <sz val="18"/>
      <color rgb="FF003366"/>
      <name val="Cambria"/>
      <family val="2"/>
      <charset val="1"/>
    </font>
    <font>
      <b val="true"/>
      <sz val="10"/>
      <color rgb="FF000000"/>
      <name val="Arial"/>
      <family val="2"/>
      <charset val="1"/>
    </font>
    <font>
      <sz val="10"/>
      <color rgb="FFDD0806"/>
      <name val="Arial"/>
      <family val="2"/>
      <charset val="1"/>
    </font>
    <font>
      <b val="true"/>
      <sz val="10"/>
      <color rgb="FF00B0F0"/>
      <name val="Arial"/>
      <family val="2"/>
      <charset val="1"/>
    </font>
    <font>
      <sz val="10"/>
      <color rgb="FF00B0F0"/>
      <name val="Arial"/>
      <family val="2"/>
      <charset val="1"/>
    </font>
    <font>
      <b val="true"/>
      <sz val="10"/>
      <color rgb="FF92D050"/>
      <name val="Arial"/>
      <family val="2"/>
      <charset val="1"/>
    </font>
    <font>
      <sz val="10"/>
      <name val="Arial"/>
      <family val="2"/>
      <charset val="1"/>
    </font>
    <font>
      <sz val="10"/>
      <name val="Arial"/>
      <family val="2"/>
    </font>
    <font>
      <b val="true"/>
      <sz val="10"/>
      <color theme="5"/>
      <name val="Arial"/>
      <family val="2"/>
      <charset val="1"/>
    </font>
    <font>
      <b val="true"/>
      <sz val="12"/>
      <color theme="3" tint="0.3999"/>
      <name val="Arial"/>
      <family val="2"/>
      <charset val="1"/>
    </font>
    <font>
      <sz val="10"/>
      <color theme="1"/>
      <name val="Arial"/>
      <family val="2"/>
      <charset val="1"/>
    </font>
    <font>
      <b val="true"/>
      <sz val="12"/>
      <color rgb="FF000000"/>
      <name val="Arial"/>
      <family val="2"/>
      <charset val="1"/>
    </font>
    <font>
      <sz val="12"/>
      <color rgb="FF000000"/>
      <name val="Arial"/>
      <family val="2"/>
      <charset val="1"/>
    </font>
    <font>
      <b val="true"/>
      <sz val="12"/>
      <color rgb="FF538DD5"/>
      <name val="Arial"/>
      <family val="2"/>
      <charset val="1"/>
    </font>
    <font>
      <sz val="12"/>
      <name val="Arial"/>
      <family val="2"/>
      <charset val="1"/>
    </font>
    <font>
      <sz val="10"/>
      <color rgb="FF92D050"/>
      <name val="Arial"/>
      <family val="2"/>
      <charset val="1"/>
    </font>
    <font>
      <sz val="10"/>
      <name val="Geneva"/>
      <family val="2"/>
      <charset val="1"/>
    </font>
    <font>
      <b val="true"/>
      <sz val="11"/>
      <name val="Arial"/>
      <family val="2"/>
      <charset val="1"/>
    </font>
    <font>
      <b val="true"/>
      <sz val="10"/>
      <name val="Arial"/>
      <family val="2"/>
      <charset val="1"/>
    </font>
    <font>
      <b val="true"/>
      <sz val="12"/>
      <name val="Arial"/>
      <family val="2"/>
      <charset val="1"/>
    </font>
    <font>
      <b val="true"/>
      <sz val="10"/>
      <color rgb="FF0000D4"/>
      <name val="Arial"/>
      <family val="2"/>
      <charset val="1"/>
    </font>
    <font>
      <b val="true"/>
      <sz val="11"/>
      <color theme="1"/>
      <name val="Calibri"/>
      <family val="2"/>
      <charset val="1"/>
    </font>
    <font>
      <sz val="12"/>
      <color theme="1"/>
      <name val="Times New Roman"/>
      <family val="1"/>
      <charset val="1"/>
    </font>
    <font>
      <sz val="12"/>
      <color theme="1"/>
      <name val="Arial"/>
      <family val="2"/>
      <charset val="1"/>
    </font>
    <font>
      <i val="true"/>
      <sz val="12"/>
      <color theme="1"/>
      <name val="Arial"/>
      <family val="2"/>
      <charset val="1"/>
    </font>
    <font>
      <i val="true"/>
      <sz val="12"/>
      <name val="Arial"/>
      <family val="2"/>
      <charset val="1"/>
    </font>
    <font>
      <sz val="12"/>
      <color rgb="FF222222"/>
      <name val="Arial"/>
      <family val="2"/>
      <charset val="1"/>
    </font>
    <font>
      <sz val="12"/>
      <name val="Times New Roman"/>
      <family val="1"/>
      <charset val="1"/>
    </font>
  </fonts>
  <fills count="23">
    <fill>
      <patternFill patternType="none"/>
    </fill>
    <fill>
      <patternFill patternType="gray125"/>
    </fill>
    <fill>
      <patternFill patternType="solid">
        <fgColor rgb="FFA2BD90"/>
        <bgColor rgb="FFC0C0C0"/>
      </patternFill>
    </fill>
    <fill>
      <patternFill patternType="solid">
        <fgColor rgb="FFFF99CC"/>
        <bgColor rgb="FFFF8080"/>
      </patternFill>
    </fill>
    <fill>
      <patternFill patternType="solid">
        <fgColor rgb="FFCCFFCC"/>
        <bgColor rgb="FFCCFFFF"/>
      </patternFill>
    </fill>
    <fill>
      <patternFill patternType="solid">
        <fgColor rgb="FFCC99FF"/>
        <bgColor rgb="FFFF99CC"/>
      </patternFill>
    </fill>
    <fill>
      <patternFill patternType="solid">
        <fgColor rgb="FF4EE257"/>
        <bgColor rgb="FF92D050"/>
      </patternFill>
    </fill>
    <fill>
      <patternFill patternType="solid">
        <fgColor rgb="FFFFF58C"/>
        <bgColor rgb="FFFFFF99"/>
      </patternFill>
    </fill>
    <fill>
      <patternFill patternType="solid">
        <fgColor rgb="FF99CCFF"/>
        <bgColor rgb="FFC0C0C0"/>
      </patternFill>
    </fill>
    <fill>
      <patternFill patternType="solid">
        <fgColor rgb="FFC0C0C0"/>
        <bgColor rgb="FFA2BD90"/>
      </patternFill>
    </fill>
    <fill>
      <patternFill patternType="solid">
        <fgColor rgb="FF1FB714"/>
        <bgColor rgb="FF4EE257"/>
      </patternFill>
    </fill>
    <fill>
      <patternFill patternType="solid">
        <fgColor rgb="FFFFCC00"/>
        <bgColor rgb="FFFFFF00"/>
      </patternFill>
    </fill>
    <fill>
      <patternFill patternType="solid">
        <fgColor rgb="FF865357"/>
        <bgColor rgb="FFC0504D"/>
      </patternFill>
    </fill>
    <fill>
      <patternFill patternType="solid">
        <fgColor rgb="FF969696"/>
        <bgColor rgb="FF808080"/>
      </patternFill>
    </fill>
    <fill>
      <patternFill patternType="solid">
        <fgColor rgb="FF6711FF"/>
        <bgColor rgb="FF800080"/>
      </patternFill>
    </fill>
    <fill>
      <patternFill patternType="solid">
        <fgColor rgb="FFFF9900"/>
        <bgColor rgb="FFFFCC00"/>
      </patternFill>
    </fill>
    <fill>
      <patternFill patternType="solid">
        <fgColor rgb="FF333399"/>
        <bgColor rgb="FF003366"/>
      </patternFill>
    </fill>
    <fill>
      <patternFill patternType="solid">
        <fgColor rgb="FFDD2D32"/>
        <bgColor rgb="FFDD0806"/>
      </patternFill>
    </fill>
    <fill>
      <patternFill patternType="solid">
        <fgColor rgb="FF33CCCC"/>
        <bgColor rgb="FF00B0F0"/>
      </patternFill>
    </fill>
    <fill>
      <patternFill patternType="solid">
        <fgColor rgb="FFFFCC99"/>
        <bgColor rgb="FFD9D9D9"/>
      </patternFill>
    </fill>
    <fill>
      <patternFill patternType="solid">
        <fgColor rgb="FFFFFF99"/>
        <bgColor rgb="FFFFF58C"/>
      </patternFill>
    </fill>
    <fill>
      <patternFill patternType="solid">
        <fgColor rgb="FFD9D9D9"/>
        <bgColor rgb="FFFDEADA"/>
      </patternFill>
    </fill>
    <fill>
      <patternFill patternType="solid">
        <fgColor theme="9" tint="0.7999"/>
        <bgColor rgb="FFFFFFFF"/>
      </patternFill>
    </fill>
  </fills>
  <borders count="14">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double">
        <color rgb="FF333333"/>
      </left>
      <right style="double">
        <color rgb="FF333333"/>
      </right>
      <top style="double">
        <color rgb="FF333333"/>
      </top>
      <bottom style="double">
        <color rgb="FF333333"/>
      </bottom>
      <diagonal/>
    </border>
    <border diagonalUp="false" diagonalDown="false">
      <left/>
      <right/>
      <top/>
      <bottom style="thick">
        <color rgb="FF333399"/>
      </bottom>
      <diagonal/>
    </border>
    <border diagonalUp="false" diagonalDown="false">
      <left/>
      <right/>
      <top/>
      <bottom style="thick">
        <color rgb="FFC0C0C0"/>
      </bottom>
      <diagonal/>
    </border>
    <border diagonalUp="false" diagonalDown="false">
      <left/>
      <right/>
      <top/>
      <bottom style="medium">
        <color rgb="FF865357"/>
      </bottom>
      <diagonal/>
    </border>
    <border diagonalUp="false" diagonalDown="false">
      <left/>
      <right/>
      <top/>
      <bottom style="double">
        <color rgb="FFFF9900"/>
      </bottom>
      <diagonal/>
    </border>
    <border diagonalUp="false" diagonalDown="false">
      <left style="thin">
        <color rgb="FFC0C0C0"/>
      </left>
      <right style="thin">
        <color rgb="FFC0C0C0"/>
      </right>
      <top style="thin">
        <color rgb="FFC0C0C0"/>
      </top>
      <bottom style="thin">
        <color rgb="FFC0C0C0"/>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right/>
      <top style="thin">
        <color rgb="FF333399"/>
      </top>
      <bottom style="double">
        <color rgb="FF333399"/>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s>
  <cellStyleXfs count="6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9"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5" fillId="12"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0"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8"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5" fillId="16" borderId="0" applyFont="true" applyBorder="true" applyAlignment="true" applyProtection="true">
      <alignment horizontal="general" vertical="bottom" textRotation="0" wrapText="false" indent="0" shrinkToFit="false"/>
      <protection locked="true" hidden="false"/>
    </xf>
    <xf numFmtId="164" fontId="5" fillId="17"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18"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6" fillId="3" borderId="0" applyFont="true" applyBorder="true" applyAlignment="true" applyProtection="true">
      <alignment horizontal="general" vertical="bottom" textRotation="0" wrapText="false" indent="0" shrinkToFit="false"/>
      <protection locked="true" hidden="false"/>
    </xf>
    <xf numFmtId="164" fontId="7" fillId="9" borderId="1" applyFont="true" applyBorder="true" applyAlignment="true" applyProtection="true">
      <alignment horizontal="general" vertical="bottom" textRotation="0" wrapText="false" indent="0" shrinkToFit="false"/>
      <protection locked="true" hidden="false"/>
    </xf>
    <xf numFmtId="164" fontId="8" fillId="13" borderId="2"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0" fillId="4" borderId="0" applyFont="true" applyBorder="true" applyAlignment="true" applyProtection="true">
      <alignment horizontal="general" vertical="bottom" textRotation="0" wrapText="false" indent="0" shrinkToFit="false"/>
      <protection locked="true" hidden="false"/>
    </xf>
    <xf numFmtId="164" fontId="11" fillId="4" borderId="0" applyFont="true" applyBorder="true" applyAlignment="true" applyProtection="true">
      <alignment horizontal="general" vertical="bottom" textRotation="0" wrapText="false" indent="0" shrinkToFit="false"/>
      <protection locked="true" hidden="false"/>
    </xf>
    <xf numFmtId="164" fontId="12" fillId="0" borderId="3" applyFont="true" applyBorder="true" applyAlignment="true" applyProtection="true">
      <alignment horizontal="general" vertical="bottom" textRotation="0" wrapText="false" indent="0" shrinkToFit="false"/>
      <protection locked="true" hidden="false"/>
    </xf>
    <xf numFmtId="164" fontId="13" fillId="0" borderId="4" applyFont="true" applyBorder="true" applyAlignment="true" applyProtection="true">
      <alignment horizontal="general" vertical="bottom" textRotation="0" wrapText="false" indent="0" shrinkToFit="false"/>
      <protection locked="true" hidden="false"/>
    </xf>
    <xf numFmtId="164" fontId="14" fillId="0" borderId="5"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4" fontId="15" fillId="19" borderId="1" applyFont="true" applyBorder="true" applyAlignment="true" applyProtection="true">
      <alignment horizontal="general" vertical="bottom" textRotation="0" wrapText="false" indent="0" shrinkToFit="false"/>
      <protection locked="true" hidden="false"/>
    </xf>
    <xf numFmtId="164" fontId="16" fillId="0" borderId="6" applyFont="true" applyBorder="true" applyAlignment="true" applyProtection="true">
      <alignment horizontal="general" vertical="bottom" textRotation="0" wrapText="false" indent="0" shrinkToFit="false"/>
      <protection locked="true" hidden="false"/>
    </xf>
    <xf numFmtId="164" fontId="17" fillId="20" borderId="0" applyFont="true" applyBorder="true" applyAlignment="true" applyProtection="true">
      <alignment horizontal="general" vertical="bottom" textRotation="0" wrapText="false" indent="0" shrinkToFit="false"/>
      <protection locked="true" hidden="false"/>
    </xf>
    <xf numFmtId="164" fontId="18" fillId="2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7" borderId="7" applyFont="true" applyBorder="true" applyAlignment="true" applyProtection="true">
      <alignment horizontal="general" vertical="bottom" textRotation="0" wrapText="false" indent="0" shrinkToFit="false"/>
      <protection locked="true" hidden="false"/>
    </xf>
    <xf numFmtId="164" fontId="19" fillId="9" borderId="8" applyFont="true" applyBorder="true" applyAlignment="true" applyProtection="true">
      <alignment horizontal="general" vertical="bottom" textRotation="0" wrapText="fals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21" fillId="0" borderId="9" applyFont="true" applyBorder="true" applyAlignment="true" applyProtection="true">
      <alignment horizontal="general" vertical="bottom" textRotation="0" wrapText="false" indent="0" shrinkToFit="false"/>
      <protection locked="true" hidden="false"/>
    </xf>
    <xf numFmtId="164" fontId="22" fillId="0" borderId="0" applyFont="true" applyBorder="true" applyAlignment="true" applyProtection="true">
      <alignment horizontal="general" vertical="bottom" textRotation="0" wrapText="false" indent="0" shrinkToFit="false"/>
      <protection locked="true" hidden="false"/>
    </xf>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general" vertical="center"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21" borderId="10" xfId="0" applyFont="true" applyBorder="true" applyAlignment="true" applyProtection="false">
      <alignment horizontal="general" vertical="center" textRotation="0" wrapText="false" indent="0" shrinkToFit="false"/>
      <protection locked="true" hidden="false"/>
    </xf>
    <xf numFmtId="164" fontId="32" fillId="21" borderId="10" xfId="0" applyFont="true" applyBorder="true" applyAlignment="true" applyProtection="false">
      <alignment horizontal="general" vertical="center" textRotation="0" wrapText="true" indent="0" shrinkToFit="false"/>
      <protection locked="true" hidden="false"/>
    </xf>
    <xf numFmtId="164" fontId="31" fillId="0" borderId="10" xfId="0" applyFont="true" applyBorder="true" applyAlignment="true" applyProtection="false">
      <alignment horizontal="general" vertical="center" textRotation="0" wrapText="false" indent="0" shrinkToFit="false"/>
      <protection locked="true" hidden="false"/>
    </xf>
    <xf numFmtId="164" fontId="32" fillId="0" borderId="10" xfId="0" applyFont="true" applyBorder="true" applyAlignment="true" applyProtection="false">
      <alignment horizontal="general" vertical="center" textRotation="0" wrapText="false" indent="0" shrinkToFit="false"/>
      <protection locked="true" hidden="false"/>
    </xf>
    <xf numFmtId="164" fontId="32" fillId="0" borderId="10" xfId="0" applyFont="true" applyBorder="true" applyAlignment="true" applyProtection="false">
      <alignment horizontal="general" vertical="center" textRotation="0" wrapText="true" indent="0" shrinkToFit="false"/>
      <protection locked="true" hidden="false"/>
    </xf>
    <xf numFmtId="164" fontId="32" fillId="21" borderId="10" xfId="0" applyFont="true" applyBorder="true" applyAlignment="true" applyProtection="false">
      <alignment horizontal="general" vertical="center" textRotation="0" wrapText="false" indent="0" shrinkToFit="false"/>
      <protection locked="true" hidden="false"/>
    </xf>
    <xf numFmtId="164" fontId="33" fillId="0" borderId="10" xfId="0" applyFont="true" applyBorder="true" applyAlignment="true" applyProtection="false">
      <alignment horizontal="general" vertical="center" textRotation="0" wrapText="false" indent="0" shrinkToFit="false"/>
      <protection locked="true" hidden="false"/>
    </xf>
    <xf numFmtId="164" fontId="31" fillId="0" borderId="10" xfId="0" applyFont="true" applyBorder="true" applyAlignment="true" applyProtection="false">
      <alignment horizontal="general" vertical="center" textRotation="0" wrapText="true" indent="0" shrinkToFit="false"/>
      <protection locked="true" hidden="false"/>
    </xf>
    <xf numFmtId="164" fontId="33" fillId="21" borderId="10" xfId="0" applyFont="true" applyBorder="true" applyAlignment="true" applyProtection="false">
      <alignment horizontal="general" vertical="center" textRotation="0" wrapText="false" indent="0" shrinkToFit="false"/>
      <protection locked="true" hidden="false"/>
    </xf>
    <xf numFmtId="164" fontId="32" fillId="21" borderId="11" xfId="0" applyFont="true" applyBorder="true" applyAlignment="true" applyProtection="false">
      <alignment horizontal="general" vertical="center" textRotation="0" wrapText="true" indent="0" shrinkToFit="false"/>
      <protection locked="true" hidden="false"/>
    </xf>
    <xf numFmtId="164" fontId="34" fillId="21" borderId="12" xfId="0" applyFont="true" applyBorder="true" applyAlignment="true" applyProtection="false">
      <alignment horizontal="general" vertical="center" textRotation="0" wrapText="true" indent="0" shrinkToFit="false"/>
      <protection locked="true" hidden="false"/>
    </xf>
    <xf numFmtId="164" fontId="32" fillId="21" borderId="13" xfId="0" applyFont="true" applyBorder="true" applyAlignment="true" applyProtection="false">
      <alignment horizontal="general" vertical="center" textRotation="0" wrapText="tru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64" fontId="25" fillId="0" borderId="0" xfId="58"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0" fillId="22" borderId="0" xfId="0" applyFont="true" applyBorder="false" applyAlignment="false" applyProtection="false">
      <alignment horizontal="general" vertical="bottom" textRotation="0" wrapText="false" indent="0" shrinkToFit="false"/>
      <protection locked="true" hidden="false"/>
    </xf>
    <xf numFmtId="167" fontId="0" fillId="22" borderId="0" xfId="0" applyFont="false" applyBorder="false" applyAlignment="false" applyProtection="false">
      <alignment horizontal="general" vertical="bottom" textRotation="0" wrapText="false" indent="0" shrinkToFit="false"/>
      <protection locked="true" hidden="false"/>
    </xf>
    <xf numFmtId="168" fontId="0" fillId="22" borderId="0" xfId="0" applyFont="fals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true" applyAlignment="true" applyProtection="false">
      <alignment horizontal="left"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center" vertical="bottom" textRotation="0" wrapText="false" indent="0" shrinkToFit="false"/>
      <protection locked="true" hidden="false"/>
    </xf>
    <xf numFmtId="171" fontId="38"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center" textRotation="0" wrapText="tru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1"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cellXfs>
  <cellStyles count="51">
    <cellStyle name="Normal" xfId="0" builtinId="0"/>
    <cellStyle name="Comma" xfId="15" builtinId="3"/>
    <cellStyle name="Comma [0]" xfId="16" builtinId="6"/>
    <cellStyle name="Currency" xfId="17" builtinId="4"/>
    <cellStyle name="Currency [0]" xfId="18" builtinId="7"/>
    <cellStyle name="Percent" xfId="19" builtinId="5"/>
    <cellStyle name="20% - Accent1 2" xfId="20"/>
    <cellStyle name="20% - Accent2 2" xfId="21"/>
    <cellStyle name="20% - Accent3 2" xfId="22"/>
    <cellStyle name="20% - Accent4 2" xfId="23"/>
    <cellStyle name="20% - Accent5 2" xfId="24"/>
    <cellStyle name="20% - Accent6 2" xfId="25"/>
    <cellStyle name="40% - Accent1 2" xfId="26"/>
    <cellStyle name="40% - Accent2 2" xfId="27"/>
    <cellStyle name="40% - Accent3 2" xfId="28"/>
    <cellStyle name="40% - Accent4 2" xfId="29"/>
    <cellStyle name="40% - Accent5 2" xfId="30"/>
    <cellStyle name="40% - Accent6 2" xfId="31"/>
    <cellStyle name="60% - Accent1 2" xfId="32"/>
    <cellStyle name="60% - Accent2 2" xfId="33"/>
    <cellStyle name="60% - Accent3 2" xfId="34"/>
    <cellStyle name="60% - Accent4 2" xfId="35"/>
    <cellStyle name="60% - Accent5 2" xfId="36"/>
    <cellStyle name="60% - Accent6 2" xfId="37"/>
    <cellStyle name="Accent1 2" xfId="38"/>
    <cellStyle name="Accent2 2" xfId="39"/>
    <cellStyle name="Accent3 2" xfId="40"/>
    <cellStyle name="Accent4 2" xfId="41"/>
    <cellStyle name="Accent5 2" xfId="42"/>
    <cellStyle name="Accent6 2" xfId="43"/>
    <cellStyle name="Bad 2" xfId="44"/>
    <cellStyle name="Calculation 2" xfId="45"/>
    <cellStyle name="Check Cell 2" xfId="46"/>
    <cellStyle name="Explanatory Text 2" xfId="47"/>
    <cellStyle name="Good 2" xfId="48"/>
    <cellStyle name="Good 3" xfId="49"/>
    <cellStyle name="Heading 1 2" xfId="50"/>
    <cellStyle name="Heading 2 2" xfId="51"/>
    <cellStyle name="Heading 3 2" xfId="52"/>
    <cellStyle name="Heading 4 2" xfId="53"/>
    <cellStyle name="Input 2" xfId="54"/>
    <cellStyle name="Linked Cell 2" xfId="55"/>
    <cellStyle name="Neutral 2" xfId="56"/>
    <cellStyle name="Neutral 3" xfId="57"/>
    <cellStyle name="Normal 2" xfId="58"/>
    <cellStyle name="Normal 3" xfId="59"/>
    <cellStyle name="Note 2" xfId="60"/>
    <cellStyle name="Output 2" xfId="61"/>
    <cellStyle name="Sheet Title" xfId="62"/>
    <cellStyle name="Total 2" xfId="63"/>
    <cellStyle name="Warning Text 2" xfId="64"/>
  </cellStyles>
  <colors>
    <indexedColors>
      <rgbColor rgb="FF000000"/>
      <rgbColor rgb="FFFFFFFF"/>
      <rgbColor rgb="FFDD0806"/>
      <rgbColor rgb="FF4EE257"/>
      <rgbColor rgb="FF0000D4"/>
      <rgbColor rgb="FFFFF58C"/>
      <rgbColor rgb="FFFF00FF"/>
      <rgbColor rgb="FF00FFFF"/>
      <rgbColor rgb="FF900000"/>
      <rgbColor rgb="FF006411"/>
      <rgbColor rgb="FF000080"/>
      <rgbColor rgb="FF808000"/>
      <rgbColor rgb="FF6711FF"/>
      <rgbColor rgb="FF008080"/>
      <rgbColor rgb="FFC0C0C0"/>
      <rgbColor rgb="FF808080"/>
      <rgbColor rgb="FFA2BD90"/>
      <rgbColor rgb="FF865357"/>
      <rgbColor rgb="FFFDEADA"/>
      <rgbColor rgb="FFCCFFFF"/>
      <rgbColor rgb="FF660066"/>
      <rgbColor rgb="FFFF8080"/>
      <rgbColor rgb="FF0066CC"/>
      <rgbColor rgb="FFD9D9D9"/>
      <rgbColor rgb="FF000080"/>
      <rgbColor rgb="FFFF00FF"/>
      <rgbColor rgb="FFFFFF00"/>
      <rgbColor rgb="FF00FFFF"/>
      <rgbColor rgb="FF800080"/>
      <rgbColor rgb="FFDD2D32"/>
      <rgbColor rgb="FF008080"/>
      <rgbColor rgb="FF0000FF"/>
      <rgbColor rgb="FF00B0F0"/>
      <rgbColor rgb="FFCCFFFF"/>
      <rgbColor rgb="FFCCFFCC"/>
      <rgbColor rgb="FFFFFF99"/>
      <rgbColor rgb="FF99CCFF"/>
      <rgbColor rgb="FFFF99CC"/>
      <rgbColor rgb="FFCC99FF"/>
      <rgbColor rgb="FFFFCC99"/>
      <rgbColor rgb="FF538DD5"/>
      <rgbColor rgb="FF33CCCC"/>
      <rgbColor rgb="FF92D050"/>
      <rgbColor rgb="FFFFCC00"/>
      <rgbColor rgb="FFFF9900"/>
      <rgbColor rgb="FFFF6600"/>
      <rgbColor rgb="FF558ED5"/>
      <rgbColor rgb="FF969696"/>
      <rgbColor rgb="FF003366"/>
      <rgbColor rgb="FF1FB714"/>
      <rgbColor rgb="FF003300"/>
      <rgbColor rgb="FF222222"/>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xdr:row>
      <xdr:rowOff>0</xdr:rowOff>
    </xdr:from>
    <xdr:to>
      <xdr:col>3</xdr:col>
      <xdr:colOff>647280</xdr:colOff>
      <xdr:row>41</xdr:row>
      <xdr:rowOff>161640</xdr:rowOff>
    </xdr:to>
    <xdr:pic>
      <xdr:nvPicPr>
        <xdr:cNvPr id="0" name="Picture 1" descr="Bioregion image.png"/>
        <xdr:cNvPicPr/>
      </xdr:nvPicPr>
      <xdr:blipFill>
        <a:blip r:embed="rId1"/>
        <a:stretch/>
      </xdr:blipFill>
      <xdr:spPr>
        <a:xfrm>
          <a:off x="0" y="2276640"/>
          <a:ext cx="9305640" cy="4857480"/>
        </a:xfrm>
        <a:prstGeom prst="rect">
          <a:avLst/>
        </a:prstGeom>
        <a:ln w="9525">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H72"/>
  <sheetViews>
    <sheetView showFormulas="false" showGridLines="true" showRowColHeaders="true" showZeros="true" rightToLeft="false" tabSelected="false" showOutlineSymbols="true" defaultGridColor="true" view="normal" topLeftCell="A1" colorId="64" zoomScale="107" zoomScaleNormal="107" zoomScalePageLayoutView="100" workbookViewId="0">
      <selection pane="topLeft" activeCell="F1" activeCellId="0" sqref="F1"/>
    </sheetView>
  </sheetViews>
  <sheetFormatPr defaultColWidth="9.1640625" defaultRowHeight="12.75" zeroHeight="false" outlineLevelRow="0" outlineLevelCol="0"/>
  <cols>
    <col collapsed="false" customWidth="true" hidden="false" outlineLevel="0" max="1" min="1" style="0" width="22.5"/>
    <col collapsed="false" customWidth="true" hidden="false" outlineLevel="0" max="2" min="2" style="0" width="18.16"/>
    <col collapsed="false" customWidth="true" hidden="false" outlineLevel="0" max="3" min="3" style="0" width="15.66"/>
    <col collapsed="false" customWidth="true" hidden="false" outlineLevel="0" max="4" min="4" style="0" width="16.33"/>
    <col collapsed="false" customWidth="true" hidden="false" outlineLevel="0" max="5" min="5" style="0" width="18.16"/>
    <col collapsed="false" customWidth="true" hidden="false" outlineLevel="0" max="6" min="6" style="0" width="24.33"/>
    <col collapsed="false" customWidth="true" hidden="false" outlineLevel="0" max="7" min="7" style="1" width="18.34"/>
    <col collapsed="false" customWidth="true" hidden="false" outlineLevel="0" max="8" min="8" style="1" width="18.5"/>
    <col collapsed="false" customWidth="true" hidden="false" outlineLevel="0" max="9" min="9" style="0" width="20"/>
    <col collapsed="false" customWidth="true" hidden="false" outlineLevel="0" max="10" min="10" style="0" width="30.16"/>
    <col collapsed="false" customWidth="true" hidden="false" outlineLevel="0" max="11" min="11" style="0" width="22.67"/>
    <col collapsed="false" customWidth="true" hidden="false" outlineLevel="0" max="12" min="12" style="0" width="17.16"/>
    <col collapsed="false" customWidth="true" hidden="false" outlineLevel="0" max="13" min="13" style="0" width="61.16"/>
    <col collapsed="false" customWidth="true" hidden="false" outlineLevel="0" max="14" min="14" style="0" width="10.33"/>
    <col collapsed="false" customWidth="true" hidden="false" outlineLevel="0" max="15" min="15" style="0" width="12"/>
    <col collapsed="false" customWidth="true" hidden="false" outlineLevel="0" max="16" min="16" style="0" width="11.33"/>
    <col collapsed="false" customWidth="true" hidden="false" outlineLevel="0" max="17" min="17" style="0" width="8.67"/>
    <col collapsed="false" customWidth="true" hidden="false" outlineLevel="0" max="18" min="18" style="0" width="7.33"/>
    <col collapsed="false" customWidth="true" hidden="false" outlineLevel="0" max="19" min="19" style="0" width="7"/>
    <col collapsed="false" customWidth="true" hidden="false" outlineLevel="0" max="20" min="20" style="0" width="7.33"/>
    <col collapsed="false" customWidth="true" hidden="false" outlineLevel="0" max="21" min="21" style="0" width="3.5"/>
    <col collapsed="false" customWidth="true" hidden="false" outlineLevel="0" max="22" min="22" style="0" width="8"/>
    <col collapsed="false" customWidth="true" hidden="false" outlineLevel="0" max="23" min="23" style="0" width="7.5"/>
    <col collapsed="false" customWidth="true" hidden="false" outlineLevel="0" max="24" min="24" style="0" width="7.67"/>
    <col collapsed="false" customWidth="true" hidden="false" outlineLevel="0" max="25" min="25" style="0" width="4.16"/>
    <col collapsed="false" customWidth="true" hidden="false" outlineLevel="0" max="26" min="26" style="2" width="12"/>
    <col collapsed="false" customWidth="true" hidden="false" outlineLevel="0" max="27" min="27" style="2" width="15.16"/>
    <col collapsed="false" customWidth="true" hidden="false" outlineLevel="0" max="28" min="28" style="0" width="14.16"/>
    <col collapsed="false" customWidth="true" hidden="false" outlineLevel="0" max="29" min="29" style="0" width="18.67"/>
    <col collapsed="false" customWidth="true" hidden="false" outlineLevel="0" max="30" min="30" style="0" width="43.16"/>
    <col collapsed="false" customWidth="true" hidden="false" outlineLevel="0" max="31" min="31" style="0" width="19.16"/>
  </cols>
  <sheetData>
    <row r="1" s="4" customFormat="true" ht="12.75" hidden="false" customHeight="false" outlineLevel="0" collapsed="false">
      <c r="A1" s="3" t="s">
        <v>0</v>
      </c>
      <c r="B1" s="4" t="s">
        <v>1</v>
      </c>
      <c r="C1" s="4" t="s">
        <v>2</v>
      </c>
      <c r="D1" s="3" t="s">
        <v>3</v>
      </c>
      <c r="E1" s="3" t="s">
        <v>4</v>
      </c>
      <c r="F1" s="3" t="s">
        <v>5</v>
      </c>
      <c r="G1" s="5" t="s">
        <v>6</v>
      </c>
      <c r="H1" s="6" t="s">
        <v>7</v>
      </c>
      <c r="I1" s="7" t="s">
        <v>8</v>
      </c>
      <c r="J1" s="7" t="s">
        <v>9</v>
      </c>
      <c r="K1" s="7" t="s">
        <v>10</v>
      </c>
      <c r="L1" s="7" t="s">
        <v>11</v>
      </c>
      <c r="M1" s="3" t="s">
        <v>12</v>
      </c>
      <c r="N1" s="7" t="s">
        <v>13</v>
      </c>
      <c r="O1" s="7" t="s">
        <v>14</v>
      </c>
      <c r="P1" s="3" t="s">
        <v>15</v>
      </c>
      <c r="Q1" s="3" t="s">
        <v>16</v>
      </c>
      <c r="R1" s="8" t="s">
        <v>17</v>
      </c>
      <c r="S1" s="8" t="s">
        <v>18</v>
      </c>
      <c r="T1" s="8" t="s">
        <v>19</v>
      </c>
      <c r="U1" s="8" t="s">
        <v>20</v>
      </c>
      <c r="V1" s="8" t="s">
        <v>21</v>
      </c>
      <c r="W1" s="8" t="s">
        <v>22</v>
      </c>
      <c r="X1" s="8" t="s">
        <v>23</v>
      </c>
      <c r="Y1" s="8" t="s">
        <v>24</v>
      </c>
      <c r="Z1" s="9" t="s">
        <v>25</v>
      </c>
      <c r="AA1" s="9" t="s">
        <v>26</v>
      </c>
      <c r="AB1" s="7" t="s">
        <v>27</v>
      </c>
      <c r="AC1" s="7" t="s">
        <v>28</v>
      </c>
      <c r="AD1" s="7" t="s">
        <v>29</v>
      </c>
      <c r="AE1" s="7" t="s">
        <v>30</v>
      </c>
    </row>
    <row r="2" s="4" customFormat="true" ht="12.75" hidden="false" customHeight="false" outlineLevel="0" collapsed="false">
      <c r="A2" s="3"/>
      <c r="D2" s="3"/>
      <c r="E2" s="3"/>
      <c r="F2" s="3"/>
      <c r="G2" s="5"/>
      <c r="H2" s="6"/>
      <c r="I2" s="7"/>
      <c r="J2" s="7"/>
      <c r="K2" s="7"/>
      <c r="L2" s="7"/>
      <c r="M2" s="3"/>
      <c r="N2" s="7"/>
      <c r="O2" s="7"/>
      <c r="P2" s="3"/>
      <c r="Q2" s="3"/>
      <c r="R2" s="8"/>
      <c r="S2" s="8"/>
      <c r="T2" s="8"/>
      <c r="U2" s="8"/>
      <c r="V2" s="8"/>
      <c r="W2" s="8"/>
      <c r="X2" s="8"/>
      <c r="Y2" s="8"/>
      <c r="Z2" s="9"/>
      <c r="AA2" s="9"/>
      <c r="AB2" s="7"/>
      <c r="AC2" s="7"/>
      <c r="AD2" s="7"/>
      <c r="AE2" s="7"/>
    </row>
    <row r="3" customFormat="false" ht="12.75" hidden="false" customHeight="false" outlineLevel="0" collapsed="false">
      <c r="A3" s="0" t="s">
        <v>31</v>
      </c>
      <c r="B3" s="0" t="s">
        <v>32</v>
      </c>
      <c r="C3" s="0" t="s">
        <v>33</v>
      </c>
      <c r="D3" s="0" t="s">
        <v>34</v>
      </c>
      <c r="E3" s="0" t="s">
        <v>35</v>
      </c>
      <c r="F3" s="0" t="s">
        <v>36</v>
      </c>
      <c r="G3" s="10" t="n">
        <v>37135</v>
      </c>
      <c r="H3" s="10"/>
      <c r="I3" s="0" t="s">
        <v>37</v>
      </c>
      <c r="J3" s="0" t="s">
        <v>38</v>
      </c>
      <c r="M3" s="0" t="s">
        <v>39</v>
      </c>
      <c r="N3" s="0" t="s">
        <v>40</v>
      </c>
      <c r="O3" s="0" t="s">
        <v>41</v>
      </c>
      <c r="P3" s="0" t="s">
        <v>42</v>
      </c>
      <c r="Q3" s="0" t="s">
        <v>43</v>
      </c>
      <c r="Z3" s="2" t="n">
        <v>35.66667</v>
      </c>
      <c r="AA3" s="2" t="n">
        <v>-118.33333</v>
      </c>
      <c r="AC3" s="0" t="s">
        <v>44</v>
      </c>
      <c r="AM3" s="11"/>
      <c r="AN3" s="11"/>
      <c r="BG3" s="11"/>
      <c r="BH3" s="11"/>
    </row>
    <row r="4" customFormat="false" ht="12.75" hidden="false" customHeight="false" outlineLevel="0" collapsed="false">
      <c r="A4" s="0" t="s">
        <v>45</v>
      </c>
      <c r="B4" s="0" t="s">
        <v>46</v>
      </c>
      <c r="C4" s="0" t="s">
        <v>47</v>
      </c>
      <c r="D4" s="0" t="s">
        <v>48</v>
      </c>
      <c r="E4" s="0" t="s">
        <v>49</v>
      </c>
      <c r="F4" s="0" t="s">
        <v>50</v>
      </c>
      <c r="G4" s="10" t="n">
        <v>32970</v>
      </c>
      <c r="H4" s="10"/>
      <c r="M4" s="0" t="s">
        <v>51</v>
      </c>
      <c r="N4" s="0" t="s">
        <v>52</v>
      </c>
      <c r="O4" s="0" t="s">
        <v>41</v>
      </c>
      <c r="P4" s="0" t="s">
        <v>42</v>
      </c>
      <c r="Z4" s="2" t="n">
        <v>0</v>
      </c>
      <c r="AA4" s="2" t="n">
        <v>0</v>
      </c>
      <c r="AC4" s="0" t="s">
        <v>44</v>
      </c>
      <c r="AM4" s="11"/>
      <c r="AN4" s="11"/>
      <c r="BG4" s="11"/>
      <c r="BH4" s="11"/>
    </row>
    <row r="5" customFormat="false" ht="12.75" hidden="false" customHeight="false" outlineLevel="0" collapsed="false">
      <c r="A5" s="0" t="s">
        <v>45</v>
      </c>
      <c r="B5" s="0" t="s">
        <v>46</v>
      </c>
      <c r="C5" s="0" t="s">
        <v>47</v>
      </c>
      <c r="D5" s="0" t="s">
        <v>48</v>
      </c>
      <c r="E5" s="0" t="s">
        <v>53</v>
      </c>
      <c r="F5" s="0" t="s">
        <v>50</v>
      </c>
      <c r="G5" s="10" t="n">
        <v>32970</v>
      </c>
      <c r="H5" s="10"/>
      <c r="M5" s="0" t="s">
        <v>51</v>
      </c>
      <c r="N5" s="0" t="s">
        <v>52</v>
      </c>
      <c r="O5" s="0" t="s">
        <v>41</v>
      </c>
      <c r="P5" s="0" t="s">
        <v>42</v>
      </c>
      <c r="Z5" s="2" t="n">
        <v>0</v>
      </c>
      <c r="AA5" s="2" t="n">
        <v>0</v>
      </c>
      <c r="AC5" s="0" t="s">
        <v>44</v>
      </c>
      <c r="AM5" s="11"/>
      <c r="AN5" s="11"/>
      <c r="BG5" s="11"/>
      <c r="BH5" s="11"/>
    </row>
    <row r="6" customFormat="false" ht="12.75" hidden="false" customHeight="false" outlineLevel="0" collapsed="false">
      <c r="A6" s="0" t="s">
        <v>54</v>
      </c>
      <c r="B6" s="0" t="s">
        <v>55</v>
      </c>
      <c r="C6" s="0" t="s">
        <v>56</v>
      </c>
      <c r="D6" s="0" t="s">
        <v>57</v>
      </c>
      <c r="E6" s="0" t="s">
        <v>58</v>
      </c>
      <c r="F6" s="0" t="s">
        <v>59</v>
      </c>
      <c r="G6" s="10" t="n">
        <v>27060</v>
      </c>
      <c r="H6" s="10"/>
      <c r="M6" s="0" t="s">
        <v>60</v>
      </c>
      <c r="O6" s="0" t="s">
        <v>61</v>
      </c>
      <c r="P6" s="0" t="s">
        <v>62</v>
      </c>
      <c r="Z6" s="2" t="n">
        <v>-22.6667</v>
      </c>
      <c r="AA6" s="2" t="n">
        <v>-50.4167</v>
      </c>
      <c r="AC6" s="0" t="s">
        <v>63</v>
      </c>
      <c r="AM6" s="11"/>
      <c r="AN6" s="11"/>
      <c r="BG6" s="11"/>
      <c r="BH6" s="11"/>
    </row>
    <row r="7" customFormat="false" ht="12.75" hidden="false" customHeight="false" outlineLevel="0" collapsed="false">
      <c r="A7" s="0" t="s">
        <v>64</v>
      </c>
      <c r="B7" s="0" t="s">
        <v>55</v>
      </c>
      <c r="C7" s="0" t="s">
        <v>56</v>
      </c>
      <c r="D7" s="0" t="s">
        <v>65</v>
      </c>
      <c r="E7" s="0" t="s">
        <v>66</v>
      </c>
      <c r="F7" s="0" t="s">
        <v>59</v>
      </c>
      <c r="G7" s="10" t="n">
        <v>25465</v>
      </c>
      <c r="H7" s="10"/>
      <c r="M7" s="0" t="s">
        <v>67</v>
      </c>
      <c r="O7" s="0" t="s">
        <v>68</v>
      </c>
      <c r="P7" s="0" t="s">
        <v>62</v>
      </c>
      <c r="Z7" s="2" t="n">
        <v>-22.5167</v>
      </c>
      <c r="AA7" s="2" t="n">
        <v>-43.1667</v>
      </c>
      <c r="AC7" s="0" t="s">
        <v>63</v>
      </c>
      <c r="AM7" s="11"/>
      <c r="AN7" s="11"/>
      <c r="BG7" s="11"/>
      <c r="BH7" s="11"/>
    </row>
    <row r="8" customFormat="false" ht="12.75" hidden="false" customHeight="false" outlineLevel="0" collapsed="false">
      <c r="A8" s="0" t="s">
        <v>69</v>
      </c>
      <c r="B8" s="0" t="s">
        <v>46</v>
      </c>
      <c r="C8" s="0" t="s">
        <v>47</v>
      </c>
      <c r="D8" s="0" t="s">
        <v>70</v>
      </c>
      <c r="E8" s="0" t="s">
        <v>71</v>
      </c>
      <c r="F8" s="0" t="s">
        <v>72</v>
      </c>
      <c r="G8" s="10" t="n">
        <v>38339</v>
      </c>
      <c r="H8" s="10"/>
      <c r="J8" s="0" t="s">
        <v>73</v>
      </c>
      <c r="K8" s="0" t="s">
        <v>74</v>
      </c>
      <c r="M8" s="0" t="s">
        <v>75</v>
      </c>
      <c r="O8" s="0" t="s">
        <v>76</v>
      </c>
      <c r="P8" s="0" t="s">
        <v>77</v>
      </c>
      <c r="Q8" s="0" t="s">
        <v>78</v>
      </c>
      <c r="Z8" s="2" t="n">
        <v>-18.85083</v>
      </c>
      <c r="AA8" s="2" t="n">
        <v>48.32</v>
      </c>
      <c r="AC8" s="0" t="s">
        <v>79</v>
      </c>
      <c r="AM8" s="11"/>
      <c r="AN8" s="11"/>
      <c r="BH8" s="11"/>
    </row>
    <row r="9" customFormat="false" ht="12.75" hidden="false" customHeight="false" outlineLevel="0" collapsed="false">
      <c r="A9" s="0" t="s">
        <v>80</v>
      </c>
      <c r="B9" s="0" t="s">
        <v>46</v>
      </c>
      <c r="C9" s="0" t="s">
        <v>81</v>
      </c>
      <c r="D9" s="0" t="s">
        <v>82</v>
      </c>
      <c r="E9" s="0" t="s">
        <v>58</v>
      </c>
      <c r="F9" s="0" t="s">
        <v>83</v>
      </c>
      <c r="G9" s="10" t="n">
        <v>37657</v>
      </c>
      <c r="H9" s="10" t="n">
        <v>37667</v>
      </c>
      <c r="I9" s="0" t="s">
        <v>84</v>
      </c>
      <c r="J9" s="0" t="s">
        <v>85</v>
      </c>
      <c r="M9" s="0" t="s">
        <v>86</v>
      </c>
      <c r="O9" s="0" t="s">
        <v>87</v>
      </c>
      <c r="P9" s="0" t="s">
        <v>77</v>
      </c>
      <c r="Q9" s="0" t="s">
        <v>88</v>
      </c>
      <c r="Z9" s="2" t="n">
        <v>-24.93683</v>
      </c>
      <c r="AA9" s="2" t="n">
        <v>46.62667</v>
      </c>
      <c r="AC9" s="0" t="s">
        <v>79</v>
      </c>
      <c r="AM9" s="11"/>
      <c r="AN9" s="11"/>
      <c r="BG9" s="11"/>
      <c r="BH9" s="11"/>
    </row>
    <row r="10" customFormat="false" ht="12.75" hidden="false" customHeight="false" outlineLevel="0" collapsed="false">
      <c r="A10" s="0" t="s">
        <v>89</v>
      </c>
      <c r="B10" s="0" t="s">
        <v>46</v>
      </c>
      <c r="C10" s="0" t="s">
        <v>81</v>
      </c>
      <c r="D10" s="0" t="s">
        <v>82</v>
      </c>
      <c r="E10" s="0" t="s">
        <v>58</v>
      </c>
      <c r="F10" s="0" t="s">
        <v>83</v>
      </c>
      <c r="G10" s="10" t="n">
        <v>37647</v>
      </c>
      <c r="H10" s="10" t="n">
        <v>37657</v>
      </c>
      <c r="I10" s="0" t="s">
        <v>84</v>
      </c>
      <c r="J10" s="0" t="s">
        <v>85</v>
      </c>
      <c r="M10" s="0" t="s">
        <v>86</v>
      </c>
      <c r="O10" s="0" t="s">
        <v>87</v>
      </c>
      <c r="P10" s="0" t="s">
        <v>77</v>
      </c>
      <c r="Q10" s="0" t="s">
        <v>88</v>
      </c>
      <c r="Z10" s="2" t="n">
        <v>-24.93683</v>
      </c>
      <c r="AA10" s="2" t="n">
        <v>46.62667</v>
      </c>
      <c r="AC10" s="0" t="s">
        <v>79</v>
      </c>
    </row>
    <row r="11" customFormat="false" ht="12.75" hidden="false" customHeight="false" outlineLevel="0" collapsed="false">
      <c r="A11" s="0" t="s">
        <v>89</v>
      </c>
      <c r="B11" s="0" t="s">
        <v>46</v>
      </c>
      <c r="C11" s="0" t="s">
        <v>81</v>
      </c>
      <c r="D11" s="0" t="s">
        <v>82</v>
      </c>
      <c r="E11" s="0" t="s">
        <v>90</v>
      </c>
      <c r="F11" s="0" t="s">
        <v>83</v>
      </c>
      <c r="G11" s="10" t="n">
        <v>37647</v>
      </c>
      <c r="H11" s="10" t="n">
        <v>37657</v>
      </c>
      <c r="I11" s="0" t="s">
        <v>84</v>
      </c>
      <c r="J11" s="0" t="s">
        <v>85</v>
      </c>
      <c r="M11" s="0" t="s">
        <v>86</v>
      </c>
      <c r="O11" s="0" t="s">
        <v>87</v>
      </c>
      <c r="P11" s="0" t="s">
        <v>77</v>
      </c>
      <c r="Q11" s="0" t="s">
        <v>88</v>
      </c>
      <c r="Z11" s="2" t="n">
        <v>-24.93683</v>
      </c>
      <c r="AA11" s="2" t="n">
        <v>46.62667</v>
      </c>
      <c r="AC11" s="0" t="s">
        <v>79</v>
      </c>
      <c r="AM11" s="11"/>
      <c r="AN11" s="11"/>
      <c r="BG11" s="11"/>
      <c r="BH11" s="11"/>
    </row>
    <row r="12" customFormat="false" ht="12.75" hidden="false" customHeight="false" outlineLevel="0" collapsed="false">
      <c r="A12" s="0" t="s">
        <v>89</v>
      </c>
      <c r="B12" s="0" t="s">
        <v>32</v>
      </c>
      <c r="C12" s="0" t="s">
        <v>91</v>
      </c>
      <c r="D12" s="0" t="s">
        <v>92</v>
      </c>
      <c r="E12" s="0" t="s">
        <v>93</v>
      </c>
      <c r="F12" s="0" t="s">
        <v>83</v>
      </c>
      <c r="G12" s="10" t="n">
        <v>37647</v>
      </c>
      <c r="H12" s="10" t="n">
        <v>37657</v>
      </c>
      <c r="I12" s="0" t="s">
        <v>84</v>
      </c>
      <c r="J12" s="0" t="s">
        <v>85</v>
      </c>
      <c r="M12" s="0" t="s">
        <v>86</v>
      </c>
      <c r="O12" s="0" t="s">
        <v>87</v>
      </c>
      <c r="P12" s="0" t="s">
        <v>77</v>
      </c>
      <c r="Q12" s="0" t="s">
        <v>88</v>
      </c>
      <c r="Z12" s="2" t="n">
        <v>-24.93683</v>
      </c>
      <c r="AA12" s="2" t="n">
        <v>46.62667</v>
      </c>
      <c r="AC12" s="0" t="s">
        <v>79</v>
      </c>
      <c r="AM12" s="11"/>
      <c r="AN12" s="11"/>
      <c r="BG12" s="11"/>
      <c r="BH12" s="11"/>
    </row>
    <row r="13" customFormat="false" ht="12.75" hidden="false" customHeight="false" outlineLevel="0" collapsed="false">
      <c r="A13" s="0" t="s">
        <v>80</v>
      </c>
      <c r="B13" s="0" t="s">
        <v>94</v>
      </c>
      <c r="C13" s="0" t="s">
        <v>95</v>
      </c>
      <c r="D13" s="0" t="s">
        <v>96</v>
      </c>
      <c r="E13" s="0" t="s">
        <v>97</v>
      </c>
      <c r="F13" s="0" t="s">
        <v>83</v>
      </c>
      <c r="G13" s="10" t="n">
        <v>37657</v>
      </c>
      <c r="H13" s="10" t="n">
        <v>37667</v>
      </c>
      <c r="I13" s="0" t="s">
        <v>84</v>
      </c>
      <c r="J13" s="0" t="s">
        <v>85</v>
      </c>
      <c r="M13" s="0" t="s">
        <v>86</v>
      </c>
      <c r="O13" s="0" t="s">
        <v>87</v>
      </c>
      <c r="P13" s="0" t="s">
        <v>77</v>
      </c>
      <c r="Q13" s="0" t="s">
        <v>88</v>
      </c>
      <c r="Z13" s="2" t="n">
        <v>-24.93683</v>
      </c>
      <c r="AA13" s="2" t="n">
        <v>46.62667</v>
      </c>
      <c r="AC13" s="0" t="s">
        <v>79</v>
      </c>
      <c r="AM13" s="11"/>
      <c r="AN13" s="11"/>
      <c r="BG13" s="11"/>
      <c r="BH13" s="11"/>
    </row>
    <row r="14" customFormat="false" ht="12.75" hidden="false" customHeight="false" outlineLevel="0" collapsed="false">
      <c r="A14" s="0" t="s">
        <v>69</v>
      </c>
      <c r="B14" s="0" t="s">
        <v>98</v>
      </c>
      <c r="C14" s="0" t="s">
        <v>99</v>
      </c>
      <c r="D14" s="0" t="s">
        <v>100</v>
      </c>
      <c r="E14" s="0" t="s">
        <v>101</v>
      </c>
      <c r="F14" s="0" t="s">
        <v>72</v>
      </c>
      <c r="G14" s="10" t="n">
        <v>38339</v>
      </c>
      <c r="H14" s="10"/>
      <c r="J14" s="0" t="s">
        <v>73</v>
      </c>
      <c r="K14" s="0" t="s">
        <v>74</v>
      </c>
      <c r="M14" s="0" t="s">
        <v>75</v>
      </c>
      <c r="O14" s="0" t="s">
        <v>76</v>
      </c>
      <c r="P14" s="0" t="s">
        <v>77</v>
      </c>
      <c r="Q14" s="0" t="s">
        <v>78</v>
      </c>
      <c r="Z14" s="2" t="n">
        <v>-18.85083</v>
      </c>
      <c r="AA14" s="2" t="n">
        <v>48.32</v>
      </c>
      <c r="AC14" s="0" t="s">
        <v>79</v>
      </c>
      <c r="AM14" s="11"/>
      <c r="AN14" s="11"/>
      <c r="BG14" s="11"/>
      <c r="BH14" s="11"/>
    </row>
    <row r="15" customFormat="false" ht="12.75" hidden="false" customHeight="false" outlineLevel="0" collapsed="false">
      <c r="A15" s="0" t="s">
        <v>102</v>
      </c>
      <c r="B15" s="0" t="s">
        <v>46</v>
      </c>
      <c r="C15" s="0" t="s">
        <v>103</v>
      </c>
      <c r="D15" s="0" t="s">
        <v>104</v>
      </c>
      <c r="E15" s="0" t="s">
        <v>58</v>
      </c>
      <c r="F15" s="0" t="s">
        <v>105</v>
      </c>
      <c r="G15" s="10" t="n">
        <v>39059</v>
      </c>
      <c r="H15" s="10"/>
      <c r="J15" s="0" t="s">
        <v>106</v>
      </c>
      <c r="K15" s="0" t="s">
        <v>107</v>
      </c>
      <c r="M15" s="0" t="s">
        <v>108</v>
      </c>
      <c r="O15" s="0" t="s">
        <v>109</v>
      </c>
      <c r="P15" s="0" t="s">
        <v>77</v>
      </c>
      <c r="Q15" s="0" t="s">
        <v>110</v>
      </c>
      <c r="Z15" s="2" t="n">
        <v>-24.239</v>
      </c>
      <c r="AA15" s="2" t="n">
        <v>46.28233</v>
      </c>
      <c r="AC15" s="0" t="s">
        <v>79</v>
      </c>
      <c r="AM15" s="11"/>
      <c r="AN15" s="11"/>
      <c r="BG15" s="11"/>
      <c r="BH15" s="11"/>
    </row>
    <row r="16" customFormat="false" ht="12.75" hidden="false" customHeight="false" outlineLevel="0" collapsed="false">
      <c r="A16" s="0" t="s">
        <v>111</v>
      </c>
      <c r="B16" s="0" t="s">
        <v>46</v>
      </c>
      <c r="C16" s="0" t="s">
        <v>112</v>
      </c>
      <c r="D16" s="0" t="s">
        <v>113</v>
      </c>
      <c r="E16" s="0" t="s">
        <v>101</v>
      </c>
      <c r="F16" s="0" t="s">
        <v>105</v>
      </c>
      <c r="G16" s="10" t="n">
        <v>39059</v>
      </c>
      <c r="H16" s="10"/>
      <c r="J16" s="0" t="s">
        <v>106</v>
      </c>
      <c r="K16" s="0" t="s">
        <v>114</v>
      </c>
      <c r="M16" s="0" t="s">
        <v>108</v>
      </c>
      <c r="O16" s="0" t="s">
        <v>109</v>
      </c>
      <c r="P16" s="0" t="s">
        <v>77</v>
      </c>
      <c r="Q16" s="0" t="s">
        <v>110</v>
      </c>
      <c r="Z16" s="2" t="n">
        <v>-24.239</v>
      </c>
      <c r="AA16" s="2" t="n">
        <v>46.28233</v>
      </c>
      <c r="AC16" s="0" t="s">
        <v>79</v>
      </c>
      <c r="AM16" s="11"/>
      <c r="AN16" s="11"/>
      <c r="BG16" s="11"/>
      <c r="BH16" s="11"/>
    </row>
    <row r="17" customFormat="false" ht="12.75" hidden="false" customHeight="false" outlineLevel="0" collapsed="false">
      <c r="A17" s="0" t="s">
        <v>115</v>
      </c>
      <c r="B17" s="0" t="s">
        <v>46</v>
      </c>
      <c r="C17" s="0" t="s">
        <v>116</v>
      </c>
      <c r="D17" s="0" t="s">
        <v>117</v>
      </c>
      <c r="E17" s="0" t="s">
        <v>118</v>
      </c>
      <c r="F17" s="0" t="s">
        <v>105</v>
      </c>
      <c r="G17" s="10" t="n">
        <v>39060</v>
      </c>
      <c r="H17" s="10"/>
      <c r="J17" s="0" t="s">
        <v>119</v>
      </c>
      <c r="K17" s="0" t="s">
        <v>120</v>
      </c>
      <c r="M17" s="0" t="s">
        <v>121</v>
      </c>
      <c r="O17" s="0" t="s">
        <v>109</v>
      </c>
      <c r="P17" s="0" t="s">
        <v>77</v>
      </c>
      <c r="Q17" s="0" t="s">
        <v>122</v>
      </c>
      <c r="Z17" s="2" t="n">
        <v>-24.87367</v>
      </c>
      <c r="AA17" s="2" t="n">
        <v>46.39767</v>
      </c>
      <c r="AC17" s="0" t="s">
        <v>79</v>
      </c>
      <c r="AM17" s="11"/>
      <c r="AN17" s="11"/>
      <c r="BG17" s="11"/>
    </row>
    <row r="18" customFormat="false" ht="12.75" hidden="false" customHeight="false" outlineLevel="0" collapsed="false">
      <c r="A18" s="0" t="s">
        <v>123</v>
      </c>
      <c r="B18" s="0" t="s">
        <v>46</v>
      </c>
      <c r="C18" s="0" t="s">
        <v>124</v>
      </c>
      <c r="D18" s="0" t="s">
        <v>125</v>
      </c>
      <c r="E18" s="0" t="s">
        <v>101</v>
      </c>
      <c r="F18" s="0" t="s">
        <v>105</v>
      </c>
      <c r="G18" s="10" t="n">
        <v>39851</v>
      </c>
      <c r="H18" s="10" t="n">
        <v>39852</v>
      </c>
      <c r="I18" s="0" t="s">
        <v>126</v>
      </c>
      <c r="J18" s="0" t="s">
        <v>73</v>
      </c>
      <c r="K18" s="0" t="s">
        <v>127</v>
      </c>
      <c r="M18" s="0" t="s">
        <v>128</v>
      </c>
      <c r="O18" s="0" t="s">
        <v>109</v>
      </c>
      <c r="P18" s="0" t="s">
        <v>77</v>
      </c>
      <c r="Q18" s="0" t="s">
        <v>129</v>
      </c>
      <c r="Z18" s="2" t="n">
        <v>-23.4178</v>
      </c>
      <c r="AA18" s="2" t="n">
        <v>46.4478</v>
      </c>
      <c r="AC18" s="0" t="s">
        <v>79</v>
      </c>
      <c r="AM18" s="11"/>
      <c r="AN18" s="11"/>
      <c r="BG18" s="11"/>
    </row>
    <row r="19" customFormat="false" ht="12.75" hidden="false" customHeight="false" outlineLevel="0" collapsed="false">
      <c r="A19" s="0" t="s">
        <v>130</v>
      </c>
      <c r="B19" s="0" t="s">
        <v>98</v>
      </c>
      <c r="C19" s="0" t="s">
        <v>99</v>
      </c>
      <c r="D19" s="0" t="s">
        <v>131</v>
      </c>
      <c r="E19" s="0" t="s">
        <v>132</v>
      </c>
      <c r="F19" s="0" t="s">
        <v>133</v>
      </c>
      <c r="G19" s="10" t="n">
        <v>34013</v>
      </c>
      <c r="H19" s="10"/>
      <c r="I19" s="0" t="s">
        <v>74</v>
      </c>
      <c r="J19" s="0" t="s">
        <v>106</v>
      </c>
      <c r="M19" s="0" t="s">
        <v>134</v>
      </c>
      <c r="O19" s="0" t="s">
        <v>109</v>
      </c>
      <c r="P19" s="0" t="s">
        <v>77</v>
      </c>
      <c r="Q19" s="0" t="s">
        <v>135</v>
      </c>
      <c r="Z19" s="2" t="n">
        <v>-23.65</v>
      </c>
      <c r="AA19" s="2" t="n">
        <v>44.63333333</v>
      </c>
      <c r="AC19" s="0" t="s">
        <v>79</v>
      </c>
      <c r="AM19" s="11"/>
      <c r="AN19" s="11"/>
      <c r="BG19" s="11"/>
      <c r="BH19" s="11"/>
    </row>
    <row r="20" customFormat="false" ht="12.75" hidden="false" customHeight="false" outlineLevel="0" collapsed="false">
      <c r="A20" s="0" t="s">
        <v>136</v>
      </c>
      <c r="B20" s="0" t="s">
        <v>55</v>
      </c>
      <c r="C20" s="0" t="s">
        <v>137</v>
      </c>
      <c r="D20" s="0" t="s">
        <v>138</v>
      </c>
      <c r="E20" s="0" t="s">
        <v>139</v>
      </c>
      <c r="F20" s="0" t="s">
        <v>133</v>
      </c>
      <c r="G20" s="10" t="n">
        <v>34013</v>
      </c>
      <c r="H20" s="10"/>
      <c r="I20" s="0" t="s">
        <v>140</v>
      </c>
      <c r="J20" s="0" t="s">
        <v>106</v>
      </c>
      <c r="M20" s="0" t="s">
        <v>141</v>
      </c>
      <c r="O20" s="0" t="s">
        <v>109</v>
      </c>
      <c r="P20" s="0" t="s">
        <v>77</v>
      </c>
      <c r="Q20" s="0" t="s">
        <v>135</v>
      </c>
      <c r="Z20" s="2" t="n">
        <v>-23.65</v>
      </c>
      <c r="AA20" s="2" t="n">
        <v>44.63333</v>
      </c>
      <c r="AC20" s="0" t="s">
        <v>79</v>
      </c>
      <c r="AM20" s="11"/>
      <c r="AN20" s="11"/>
      <c r="BG20" s="11"/>
      <c r="BH20" s="11"/>
    </row>
    <row r="21" customFormat="false" ht="12.75" hidden="false" customHeight="false" outlineLevel="0" collapsed="false">
      <c r="A21" s="0" t="s">
        <v>142</v>
      </c>
      <c r="B21" s="0" t="s">
        <v>46</v>
      </c>
      <c r="C21" s="0" t="s">
        <v>143</v>
      </c>
      <c r="D21" s="0" t="s">
        <v>144</v>
      </c>
      <c r="E21" s="0" t="s">
        <v>93</v>
      </c>
      <c r="F21" s="0" t="s">
        <v>145</v>
      </c>
      <c r="G21" s="10" t="n">
        <v>31800</v>
      </c>
      <c r="H21" s="10"/>
      <c r="I21" s="0" t="s">
        <v>146</v>
      </c>
      <c r="M21" s="0" t="s">
        <v>147</v>
      </c>
      <c r="O21" s="0" t="s">
        <v>148</v>
      </c>
      <c r="P21" s="0" t="s">
        <v>149</v>
      </c>
      <c r="R21" s="0" t="n">
        <v>-35</v>
      </c>
      <c r="S21" s="0" t="n">
        <v>16</v>
      </c>
      <c r="T21" s="0" t="n">
        <v>0</v>
      </c>
      <c r="U21" s="12" t="s">
        <v>150</v>
      </c>
      <c r="V21" s="0" t="n">
        <v>138</v>
      </c>
      <c r="W21" s="0" t="n">
        <v>54</v>
      </c>
      <c r="X21" s="0" t="n">
        <v>0</v>
      </c>
      <c r="Y21" s="12" t="s">
        <v>151</v>
      </c>
      <c r="Z21" s="2" t="n">
        <f aca="false">R21+(S21/60)+(T21/360)</f>
        <v>-34.7333333333333</v>
      </c>
      <c r="AA21" s="2" t="n">
        <f aca="false">V21+(W21/60)+(X21/360)</f>
        <v>138.9</v>
      </c>
      <c r="AC21" s="0" t="s">
        <v>152</v>
      </c>
      <c r="AM21" s="11"/>
      <c r="AN21" s="11"/>
      <c r="BG21" s="11"/>
      <c r="BH21" s="11"/>
    </row>
    <row r="22" customFormat="false" ht="12.75" hidden="false" customHeight="false" outlineLevel="0" collapsed="false">
      <c r="A22" s="0" t="s">
        <v>153</v>
      </c>
      <c r="B22" s="0" t="s">
        <v>154</v>
      </c>
      <c r="C22" s="0" t="s">
        <v>155</v>
      </c>
      <c r="D22" s="0" t="s">
        <v>156</v>
      </c>
      <c r="E22" s="0" t="s">
        <v>58</v>
      </c>
      <c r="F22" s="0" t="s">
        <v>157</v>
      </c>
      <c r="G22" s="10" t="n">
        <v>23392</v>
      </c>
      <c r="H22" s="10"/>
      <c r="J22" s="0" t="s">
        <v>158</v>
      </c>
      <c r="M22" s="0" t="s">
        <v>159</v>
      </c>
      <c r="P22" s="0" t="s">
        <v>159</v>
      </c>
      <c r="Z22" s="2" t="n">
        <v>0</v>
      </c>
      <c r="AA22" s="2" t="n">
        <v>0</v>
      </c>
      <c r="AC22" s="0" t="s">
        <v>160</v>
      </c>
      <c r="AM22" s="11"/>
      <c r="AN22" s="11"/>
      <c r="BG22" s="11"/>
      <c r="BH22" s="11"/>
    </row>
    <row r="23" customFormat="false" ht="12.75" hidden="false" customHeight="false" outlineLevel="0" collapsed="false">
      <c r="A23" s="0" t="s">
        <v>161</v>
      </c>
      <c r="B23" s="0" t="s">
        <v>154</v>
      </c>
      <c r="C23" s="0" t="s">
        <v>162</v>
      </c>
      <c r="D23" s="0" t="s">
        <v>163</v>
      </c>
      <c r="E23" s="0" t="s">
        <v>58</v>
      </c>
      <c r="F23" s="0" t="s">
        <v>164</v>
      </c>
      <c r="G23" s="10" t="n">
        <v>26712</v>
      </c>
      <c r="H23" s="10" t="n">
        <v>26714</v>
      </c>
      <c r="J23" s="0" t="s">
        <v>165</v>
      </c>
      <c r="M23" s="0" t="s">
        <v>166</v>
      </c>
      <c r="O23" s="0" t="s">
        <v>167</v>
      </c>
      <c r="P23" s="0" t="s">
        <v>149</v>
      </c>
      <c r="Q23" s="0" t="s">
        <v>168</v>
      </c>
      <c r="Z23" s="2" t="n">
        <v>0</v>
      </c>
      <c r="AA23" s="2" t="n">
        <v>0</v>
      </c>
      <c r="AC23" s="0" t="s">
        <v>152</v>
      </c>
      <c r="AM23" s="11"/>
      <c r="AN23" s="11"/>
      <c r="BG23" s="11"/>
      <c r="BH23" s="11"/>
    </row>
    <row r="24" customFormat="false" ht="12.75" hidden="false" customHeight="false" outlineLevel="0" collapsed="false">
      <c r="A24" s="0" t="s">
        <v>169</v>
      </c>
      <c r="B24" s="0" t="s">
        <v>46</v>
      </c>
      <c r="C24" s="0" t="s">
        <v>170</v>
      </c>
      <c r="D24" s="0" t="s">
        <v>171</v>
      </c>
      <c r="E24" s="0" t="s">
        <v>58</v>
      </c>
      <c r="F24" s="0" t="s">
        <v>105</v>
      </c>
      <c r="G24" s="10" t="n">
        <v>40517</v>
      </c>
      <c r="H24" s="10" t="n">
        <v>40517</v>
      </c>
      <c r="J24" s="0" t="s">
        <v>172</v>
      </c>
      <c r="K24" s="0" t="s">
        <v>173</v>
      </c>
      <c r="M24" s="0" t="s">
        <v>174</v>
      </c>
      <c r="O24" s="0" t="s">
        <v>109</v>
      </c>
      <c r="P24" s="0" t="s">
        <v>77</v>
      </c>
      <c r="Q24" s="0" t="s">
        <v>175</v>
      </c>
      <c r="Z24" s="2" t="n">
        <v>-21.29961</v>
      </c>
      <c r="AA24" s="2" t="n">
        <v>45.12919</v>
      </c>
      <c r="AC24" s="0" t="s">
        <v>79</v>
      </c>
      <c r="AM24" s="11"/>
      <c r="AN24" s="11"/>
      <c r="BG24" s="11"/>
      <c r="BH24" s="11"/>
    </row>
    <row r="25" customFormat="false" ht="12.75" hidden="false" customHeight="false" outlineLevel="0" collapsed="false">
      <c r="A25" s="0" t="s">
        <v>169</v>
      </c>
      <c r="B25" s="0" t="s">
        <v>46</v>
      </c>
      <c r="C25" s="0" t="s">
        <v>170</v>
      </c>
      <c r="D25" s="0" t="s">
        <v>171</v>
      </c>
      <c r="E25" s="0" t="s">
        <v>176</v>
      </c>
      <c r="F25" s="0" t="s">
        <v>105</v>
      </c>
      <c r="G25" s="10" t="n">
        <v>40517</v>
      </c>
      <c r="H25" s="10" t="n">
        <v>40517</v>
      </c>
      <c r="J25" s="0" t="s">
        <v>172</v>
      </c>
      <c r="K25" s="0" t="s">
        <v>173</v>
      </c>
      <c r="M25" s="0" t="s">
        <v>174</v>
      </c>
      <c r="O25" s="0" t="s">
        <v>109</v>
      </c>
      <c r="P25" s="0" t="s">
        <v>77</v>
      </c>
      <c r="Q25" s="0" t="s">
        <v>175</v>
      </c>
      <c r="Z25" s="2" t="n">
        <v>-21.29961</v>
      </c>
      <c r="AA25" s="2" t="n">
        <v>45.12919</v>
      </c>
      <c r="AC25" s="0" t="s">
        <v>79</v>
      </c>
      <c r="AM25" s="11"/>
      <c r="AN25" s="11"/>
      <c r="BG25" s="11"/>
      <c r="BH25" s="11"/>
    </row>
    <row r="26" customFormat="false" ht="12.75" hidden="false" customHeight="false" outlineLevel="0" collapsed="false">
      <c r="A26" s="0" t="s">
        <v>177</v>
      </c>
      <c r="B26" s="0" t="s">
        <v>98</v>
      </c>
      <c r="C26" s="0" t="s">
        <v>178</v>
      </c>
      <c r="D26" s="0" t="s">
        <v>179</v>
      </c>
      <c r="E26" s="0" t="s">
        <v>58</v>
      </c>
      <c r="F26" s="0" t="s">
        <v>180</v>
      </c>
      <c r="G26" s="10" t="n">
        <v>26512</v>
      </c>
      <c r="H26" s="10" t="n">
        <v>26526</v>
      </c>
      <c r="I26" s="0" t="s">
        <v>181</v>
      </c>
      <c r="M26" s="0" t="s">
        <v>182</v>
      </c>
      <c r="P26" s="0" t="s">
        <v>183</v>
      </c>
      <c r="Z26" s="2" t="n">
        <v>0</v>
      </c>
      <c r="AA26" s="2" t="n">
        <v>0</v>
      </c>
      <c r="AC26" s="0" t="s">
        <v>63</v>
      </c>
      <c r="AM26" s="11"/>
      <c r="AN26" s="11"/>
      <c r="BG26" s="11"/>
      <c r="BH26" s="11"/>
    </row>
    <row r="27" customFormat="false" ht="12.75" hidden="false" customHeight="false" outlineLevel="0" collapsed="false">
      <c r="A27" s="0" t="s">
        <v>184</v>
      </c>
      <c r="B27" s="0" t="s">
        <v>98</v>
      </c>
      <c r="C27" s="0" t="s">
        <v>178</v>
      </c>
      <c r="D27" s="0" t="s">
        <v>185</v>
      </c>
      <c r="E27" s="0" t="s">
        <v>58</v>
      </c>
      <c r="F27" s="0" t="s">
        <v>186</v>
      </c>
      <c r="G27" s="10" t="n">
        <v>37408</v>
      </c>
      <c r="H27" s="10"/>
      <c r="I27" s="0" t="s">
        <v>84</v>
      </c>
      <c r="M27" s="0" t="s">
        <v>187</v>
      </c>
      <c r="O27" s="0" t="s">
        <v>188</v>
      </c>
      <c r="P27" s="0" t="s">
        <v>189</v>
      </c>
      <c r="Z27" s="2" t="n">
        <v>-1.58639</v>
      </c>
      <c r="AA27" s="2" t="n">
        <v>-69.5275</v>
      </c>
      <c r="AC27" s="0" t="s">
        <v>63</v>
      </c>
      <c r="AM27" s="11"/>
      <c r="AN27" s="11"/>
      <c r="BG27" s="11"/>
      <c r="BH27" s="11"/>
    </row>
    <row r="28" customFormat="false" ht="12.75" hidden="false" customHeight="false" outlineLevel="0" collapsed="false">
      <c r="A28" s="0" t="s">
        <v>190</v>
      </c>
      <c r="B28" s="0" t="s">
        <v>98</v>
      </c>
      <c r="C28" s="0" t="s">
        <v>178</v>
      </c>
      <c r="D28" s="0" t="s">
        <v>191</v>
      </c>
      <c r="E28" s="0" t="s">
        <v>58</v>
      </c>
      <c r="F28" s="0" t="s">
        <v>192</v>
      </c>
      <c r="G28" s="10" t="n">
        <v>27026</v>
      </c>
      <c r="H28" s="10"/>
      <c r="M28" s="0" t="s">
        <v>193</v>
      </c>
      <c r="O28" s="0" t="s">
        <v>194</v>
      </c>
      <c r="P28" s="0" t="s">
        <v>195</v>
      </c>
      <c r="Z28" s="2" t="n">
        <v>0</v>
      </c>
      <c r="AA28" s="2" t="n">
        <v>0</v>
      </c>
      <c r="AC28" s="0" t="s">
        <v>63</v>
      </c>
      <c r="AM28" s="11"/>
      <c r="AN28" s="11"/>
      <c r="BG28" s="11"/>
      <c r="BH28" s="11"/>
    </row>
    <row r="29" customFormat="false" ht="12.75" hidden="false" customHeight="false" outlineLevel="0" collapsed="false">
      <c r="A29" s="0" t="s">
        <v>196</v>
      </c>
      <c r="B29" s="0" t="s">
        <v>197</v>
      </c>
      <c r="C29" s="0" t="s">
        <v>198</v>
      </c>
      <c r="D29" s="0" t="s">
        <v>199</v>
      </c>
      <c r="E29" s="0" t="s">
        <v>93</v>
      </c>
      <c r="F29" s="0" t="s">
        <v>200</v>
      </c>
      <c r="G29" s="10" t="n">
        <v>21775</v>
      </c>
      <c r="H29" s="10"/>
      <c r="M29" s="0" t="s">
        <v>201</v>
      </c>
      <c r="O29" s="0" t="s">
        <v>202</v>
      </c>
      <c r="P29" s="0" t="s">
        <v>195</v>
      </c>
      <c r="R29" s="13" t="n">
        <v>23</v>
      </c>
      <c r="S29" s="13" t="n">
        <v>19</v>
      </c>
      <c r="T29" s="13"/>
      <c r="U29" s="13" t="s">
        <v>203</v>
      </c>
      <c r="V29" s="13" t="n">
        <v>99</v>
      </c>
      <c r="W29" s="13" t="n">
        <v>0</v>
      </c>
      <c r="X29" s="13"/>
      <c r="Y29" s="13" t="s">
        <v>204</v>
      </c>
      <c r="Z29" s="2" t="n">
        <f aca="false">IF((LEN(R29)&gt;0),(R29+S29/60)*(IF(U29="S",-1,1))," ")</f>
        <v>23.3166666666667</v>
      </c>
      <c r="AA29" s="2" t="n">
        <f aca="false">IF((LEN(V29)&gt;0),(V29+W29/60)*IF(Y29="W",-1,1)," ")</f>
        <v>-99</v>
      </c>
      <c r="AC29" s="0" t="s">
        <v>63</v>
      </c>
      <c r="AD29" s="0" t="s">
        <v>205</v>
      </c>
    </row>
    <row r="30" customFormat="false" ht="12.75" hidden="false" customHeight="false" outlineLevel="0" collapsed="false">
      <c r="A30" s="0" t="s">
        <v>206</v>
      </c>
      <c r="B30" s="0" t="s">
        <v>197</v>
      </c>
      <c r="C30" s="0" t="s">
        <v>198</v>
      </c>
      <c r="D30" s="0" t="s">
        <v>199</v>
      </c>
      <c r="E30" s="0" t="s">
        <v>93</v>
      </c>
      <c r="F30" s="0" t="s">
        <v>207</v>
      </c>
      <c r="G30" s="10" t="n">
        <v>22765</v>
      </c>
      <c r="H30" s="10"/>
      <c r="M30" s="0" t="s">
        <v>208</v>
      </c>
      <c r="O30" s="0" t="s">
        <v>208</v>
      </c>
      <c r="P30" s="0" t="s">
        <v>195</v>
      </c>
      <c r="R30" s="13" t="n">
        <v>19</v>
      </c>
      <c r="S30" s="13" t="n">
        <v>12</v>
      </c>
      <c r="T30" s="13"/>
      <c r="U30" s="13" t="s">
        <v>203</v>
      </c>
      <c r="V30" s="13" t="n">
        <v>96</v>
      </c>
      <c r="W30" s="13" t="n">
        <v>8</v>
      </c>
      <c r="X30" s="13"/>
      <c r="Y30" s="13" t="s">
        <v>204</v>
      </c>
      <c r="Z30" s="2" t="n">
        <f aca="false">IF((LEN(R30)&gt;0),(R30+S30/60)*(IF(U30="S",-1,1))," ")</f>
        <v>19.2</v>
      </c>
      <c r="AA30" s="2" t="n">
        <f aca="false">IF((LEN(V30)&gt;0),(V30+W30/60)*IF(Y30="W",-1,1)," ")</f>
        <v>-96.1333333333333</v>
      </c>
      <c r="AC30" s="0" t="s">
        <v>63</v>
      </c>
      <c r="AD30" s="0" t="s">
        <v>205</v>
      </c>
    </row>
    <row r="31" customFormat="false" ht="12.75" hidden="false" customHeight="false" outlineLevel="0" collapsed="false">
      <c r="A31" s="0" t="s">
        <v>209</v>
      </c>
      <c r="B31" s="0" t="s">
        <v>197</v>
      </c>
      <c r="C31" s="0" t="s">
        <v>198</v>
      </c>
      <c r="D31" s="0" t="s">
        <v>199</v>
      </c>
      <c r="E31" s="0" t="s">
        <v>58</v>
      </c>
      <c r="F31" s="0" t="s">
        <v>210</v>
      </c>
      <c r="G31" s="10" t="n">
        <v>23209</v>
      </c>
      <c r="H31" s="10"/>
      <c r="M31" s="0" t="s">
        <v>211</v>
      </c>
      <c r="O31" s="0" t="s">
        <v>208</v>
      </c>
      <c r="P31" s="0" t="s">
        <v>195</v>
      </c>
      <c r="R31" s="13" t="n">
        <v>18</v>
      </c>
      <c r="S31" s="13" t="n">
        <v>46</v>
      </c>
      <c r="T31" s="13"/>
      <c r="U31" s="13" t="s">
        <v>203</v>
      </c>
      <c r="V31" s="13" t="n">
        <v>96</v>
      </c>
      <c r="W31" s="13" t="n">
        <v>28</v>
      </c>
      <c r="X31" s="13"/>
      <c r="Y31" s="13" t="s">
        <v>204</v>
      </c>
      <c r="Z31" s="2" t="n">
        <f aca="false">IF((LEN(R31)&gt;0),(R31+S31/60)*(IF(U31="S",-1,1))," ")</f>
        <v>18.7666666666667</v>
      </c>
      <c r="AA31" s="2" t="n">
        <f aca="false">IF((LEN(V31)&gt;0),(V31+W31/60)*IF(Y31="W",-1,1)," ")</f>
        <v>-96.4666666666667</v>
      </c>
      <c r="AC31" s="0" t="s">
        <v>63</v>
      </c>
      <c r="AD31" s="0" t="s">
        <v>212</v>
      </c>
    </row>
    <row r="32" customFormat="false" ht="12.75" hidden="false" customHeight="false" outlineLevel="0" collapsed="false">
      <c r="A32" s="0" t="s">
        <v>213</v>
      </c>
      <c r="B32" s="0" t="s">
        <v>197</v>
      </c>
      <c r="C32" s="0" t="s">
        <v>198</v>
      </c>
      <c r="D32" s="0" t="s">
        <v>199</v>
      </c>
      <c r="E32" s="0" t="s">
        <v>93</v>
      </c>
      <c r="F32" s="0" t="s">
        <v>214</v>
      </c>
      <c r="G32" s="10" t="n">
        <v>22757</v>
      </c>
      <c r="H32" s="10"/>
      <c r="M32" s="0" t="s">
        <v>215</v>
      </c>
      <c r="O32" s="0" t="s">
        <v>208</v>
      </c>
      <c r="P32" s="0" t="s">
        <v>195</v>
      </c>
      <c r="R32" s="13" t="n">
        <v>17</v>
      </c>
      <c r="S32" s="13" t="n">
        <v>34</v>
      </c>
      <c r="T32" s="13"/>
      <c r="U32" s="13" t="s">
        <v>203</v>
      </c>
      <c r="V32" s="13" t="n">
        <v>95</v>
      </c>
      <c r="W32" s="13" t="n">
        <v>6</v>
      </c>
      <c r="X32" s="13"/>
      <c r="Y32" s="13" t="s">
        <v>204</v>
      </c>
      <c r="Z32" s="2" t="n">
        <f aca="false">IF((LEN(R32)&gt;0),(R32+S32/60)*(IF(U32="S",-1,1))," ")</f>
        <v>17.5666666666667</v>
      </c>
      <c r="AA32" s="2" t="n">
        <f aca="false">IF((LEN(V32)&gt;0),(V32+W32/60)*IF(Y32="W",-1,1)," ")</f>
        <v>-95.1</v>
      </c>
      <c r="AC32" s="0" t="s">
        <v>63</v>
      </c>
      <c r="AD32" s="0" t="s">
        <v>216</v>
      </c>
    </row>
    <row r="33" customFormat="false" ht="12.75" hidden="false" customHeight="false" outlineLevel="0" collapsed="false">
      <c r="A33" s="0" t="s">
        <v>217</v>
      </c>
      <c r="B33" s="0" t="s">
        <v>197</v>
      </c>
      <c r="C33" s="0" t="s">
        <v>198</v>
      </c>
      <c r="D33" s="0" t="s">
        <v>199</v>
      </c>
      <c r="E33" s="0" t="s">
        <v>58</v>
      </c>
      <c r="F33" s="0" t="s">
        <v>214</v>
      </c>
      <c r="G33" s="10" t="n">
        <v>23211</v>
      </c>
      <c r="H33" s="10"/>
      <c r="M33" s="0" t="s">
        <v>218</v>
      </c>
      <c r="O33" s="0" t="s">
        <v>219</v>
      </c>
      <c r="P33" s="0" t="s">
        <v>195</v>
      </c>
      <c r="R33" s="13" t="n">
        <v>17</v>
      </c>
      <c r="S33" s="13" t="n">
        <v>22</v>
      </c>
      <c r="T33" s="13"/>
      <c r="U33" s="13" t="s">
        <v>203</v>
      </c>
      <c r="V33" s="13" t="n">
        <v>99</v>
      </c>
      <c r="W33" s="13" t="n">
        <v>29</v>
      </c>
      <c r="X33" s="13"/>
      <c r="Y33" s="13" t="s">
        <v>204</v>
      </c>
      <c r="Z33" s="2" t="n">
        <f aca="false">IF((LEN(R33)&gt;0),(R33+S33/60)*(IF(U33="S",-1,1))," ")</f>
        <v>17.3666666666667</v>
      </c>
      <c r="AA33" s="2" t="n">
        <f aca="false">IF((LEN(V33)&gt;0),(V33+W33/60)*IF(Y33="W",-1,1)," ")</f>
        <v>-99.4833333333333</v>
      </c>
      <c r="AC33" s="0" t="s">
        <v>63</v>
      </c>
      <c r="AD33" s="0" t="s">
        <v>220</v>
      </c>
    </row>
    <row r="34" customFormat="false" ht="12.75" hidden="false" customHeight="false" outlineLevel="0" collapsed="false">
      <c r="A34" s="0" t="s">
        <v>221</v>
      </c>
      <c r="B34" s="0" t="s">
        <v>197</v>
      </c>
      <c r="C34" s="0" t="s">
        <v>198</v>
      </c>
      <c r="D34" s="0" t="s">
        <v>199</v>
      </c>
      <c r="E34" s="0" t="s">
        <v>58</v>
      </c>
      <c r="F34" s="0" t="s">
        <v>214</v>
      </c>
      <c r="G34" s="10" t="n">
        <v>23211</v>
      </c>
      <c r="H34" s="10"/>
      <c r="M34" s="0" t="s">
        <v>218</v>
      </c>
      <c r="O34" s="0" t="s">
        <v>219</v>
      </c>
      <c r="P34" s="0" t="s">
        <v>195</v>
      </c>
      <c r="R34" s="13" t="n">
        <v>17</v>
      </c>
      <c r="S34" s="13" t="n">
        <v>22</v>
      </c>
      <c r="T34" s="13"/>
      <c r="U34" s="13" t="s">
        <v>203</v>
      </c>
      <c r="V34" s="13" t="n">
        <v>99</v>
      </c>
      <c r="W34" s="13" t="n">
        <v>29</v>
      </c>
      <c r="X34" s="13"/>
      <c r="Y34" s="13" t="s">
        <v>204</v>
      </c>
      <c r="Z34" s="2" t="n">
        <f aca="false">IF((LEN(R34)&gt;0),(R34+S34/60)*(IF(U34="S",-1,1))," ")</f>
        <v>17.3666666666667</v>
      </c>
      <c r="AA34" s="2" t="n">
        <f aca="false">IF((LEN(V34)&gt;0),(V34+W34/60)*IF(Y34="W",-1,1)," ")</f>
        <v>-99.4833333333333</v>
      </c>
      <c r="AC34" s="0" t="s">
        <v>63</v>
      </c>
      <c r="AD34" s="0" t="s">
        <v>220</v>
      </c>
    </row>
    <row r="35" customFormat="false" ht="12.75" hidden="false" customHeight="false" outlineLevel="0" collapsed="false">
      <c r="A35" s="0" t="s">
        <v>222</v>
      </c>
      <c r="B35" s="0" t="s">
        <v>197</v>
      </c>
      <c r="C35" s="0" t="s">
        <v>198</v>
      </c>
      <c r="D35" s="0" t="s">
        <v>199</v>
      </c>
      <c r="E35" s="0" t="s">
        <v>58</v>
      </c>
      <c r="F35" s="0" t="s">
        <v>210</v>
      </c>
      <c r="G35" s="10" t="n">
        <v>23211</v>
      </c>
      <c r="H35" s="10"/>
      <c r="M35" s="0" t="s">
        <v>218</v>
      </c>
      <c r="O35" s="0" t="s">
        <v>219</v>
      </c>
      <c r="P35" s="0" t="s">
        <v>195</v>
      </c>
      <c r="R35" s="13" t="n">
        <v>17</v>
      </c>
      <c r="S35" s="13" t="n">
        <v>22</v>
      </c>
      <c r="T35" s="13"/>
      <c r="U35" s="13" t="s">
        <v>203</v>
      </c>
      <c r="V35" s="13" t="n">
        <v>99</v>
      </c>
      <c r="W35" s="13" t="n">
        <v>29</v>
      </c>
      <c r="X35" s="13"/>
      <c r="Y35" s="13" t="s">
        <v>204</v>
      </c>
      <c r="Z35" s="2" t="n">
        <f aca="false">IF((LEN(R35)&gt;0),(R35+S35/60)*(IF(U35="S",-1,1))," ")</f>
        <v>17.3666666666667</v>
      </c>
      <c r="AA35" s="2" t="n">
        <f aca="false">IF((LEN(V35)&gt;0),(V35+W35/60)*IF(Y35="W",-1,1)," ")</f>
        <v>-99.4833333333333</v>
      </c>
      <c r="AC35" s="0" t="s">
        <v>63</v>
      </c>
      <c r="AD35" s="0" t="s">
        <v>220</v>
      </c>
    </row>
    <row r="36" customFormat="false" ht="12.75" hidden="false" customHeight="false" outlineLevel="0" collapsed="false">
      <c r="A36" s="0" t="s">
        <v>223</v>
      </c>
      <c r="B36" s="0" t="s">
        <v>197</v>
      </c>
      <c r="C36" s="0" t="s">
        <v>198</v>
      </c>
      <c r="D36" s="0" t="s">
        <v>199</v>
      </c>
      <c r="E36" s="0" t="s">
        <v>58</v>
      </c>
      <c r="F36" s="0" t="s">
        <v>210</v>
      </c>
      <c r="G36" s="10" t="n">
        <v>23210</v>
      </c>
      <c r="H36" s="10"/>
      <c r="M36" s="0" t="s">
        <v>218</v>
      </c>
      <c r="O36" s="0" t="s">
        <v>219</v>
      </c>
      <c r="P36" s="0" t="s">
        <v>195</v>
      </c>
      <c r="R36" s="13" t="n">
        <v>17</v>
      </c>
      <c r="S36" s="13" t="n">
        <v>22</v>
      </c>
      <c r="T36" s="13"/>
      <c r="U36" s="13" t="s">
        <v>203</v>
      </c>
      <c r="V36" s="13" t="n">
        <v>99</v>
      </c>
      <c r="W36" s="13" t="n">
        <v>29</v>
      </c>
      <c r="X36" s="13"/>
      <c r="Y36" s="13" t="s">
        <v>204</v>
      </c>
      <c r="Z36" s="2" t="n">
        <f aca="false">IF((LEN(R36)&gt;0),(R36+S36/60)*(IF(U36="S",-1,1))," ")</f>
        <v>17.3666666666667</v>
      </c>
      <c r="AA36" s="2" t="n">
        <f aca="false">IF((LEN(V36)&gt;0),(V36+W36/60)*IF(Y36="W",-1,1)," ")</f>
        <v>-99.4833333333333</v>
      </c>
      <c r="AC36" s="0" t="s">
        <v>63</v>
      </c>
      <c r="AD36" s="0" t="s">
        <v>220</v>
      </c>
    </row>
    <row r="37" customFormat="false" ht="12.75" hidden="false" customHeight="false" outlineLevel="0" collapsed="false">
      <c r="A37" s="0" t="s">
        <v>224</v>
      </c>
      <c r="B37" s="0" t="s">
        <v>197</v>
      </c>
      <c r="C37" s="0" t="s">
        <v>198</v>
      </c>
      <c r="D37" s="0" t="s">
        <v>199</v>
      </c>
      <c r="E37" s="0" t="s">
        <v>225</v>
      </c>
      <c r="F37" s="0" t="s">
        <v>226</v>
      </c>
      <c r="G37" s="10" t="n">
        <v>38799</v>
      </c>
      <c r="H37" s="10"/>
      <c r="J37" s="0" t="s">
        <v>106</v>
      </c>
      <c r="K37" s="0" t="s">
        <v>227</v>
      </c>
      <c r="L37" s="0" t="s">
        <v>228</v>
      </c>
      <c r="M37" s="0" t="s">
        <v>229</v>
      </c>
      <c r="O37" s="0" t="s">
        <v>194</v>
      </c>
      <c r="P37" s="0" t="s">
        <v>195</v>
      </c>
      <c r="Q37" s="0" t="s">
        <v>230</v>
      </c>
      <c r="R37" s="13" t="n">
        <v>15</v>
      </c>
      <c r="S37" s="13" t="n">
        <v>40</v>
      </c>
      <c r="T37" s="13"/>
      <c r="U37" s="13" t="s">
        <v>203</v>
      </c>
      <c r="V37" s="13" t="n">
        <v>96</v>
      </c>
      <c r="W37" s="13" t="n">
        <v>33</v>
      </c>
      <c r="X37" s="13"/>
      <c r="Y37" s="13" t="s">
        <v>204</v>
      </c>
      <c r="Z37" s="2" t="n">
        <f aca="false">IF((LEN(R37)&gt;0),(R37+S37/60)*(IF(U37="S",-1,1))," ")</f>
        <v>15.6666666666667</v>
      </c>
      <c r="AA37" s="2" t="n">
        <f aca="false">IF((LEN(V37)&gt;0),(V37+W37/60)*IF(Y37="W",-1,1)," ")</f>
        <v>-96.55</v>
      </c>
      <c r="AB37" s="0" t="s">
        <v>231</v>
      </c>
      <c r="AC37" s="0" t="s">
        <v>63</v>
      </c>
      <c r="AD37" s="0" t="s">
        <v>232</v>
      </c>
    </row>
    <row r="38" customFormat="false" ht="12.75" hidden="false" customHeight="false" outlineLevel="0" collapsed="false">
      <c r="A38" s="0" t="s">
        <v>233</v>
      </c>
      <c r="B38" s="0" t="s">
        <v>197</v>
      </c>
      <c r="C38" s="0" t="s">
        <v>198</v>
      </c>
      <c r="D38" s="0" t="s">
        <v>199</v>
      </c>
      <c r="E38" s="0" t="s">
        <v>35</v>
      </c>
      <c r="F38" s="0" t="s">
        <v>234</v>
      </c>
      <c r="G38" s="10" t="n">
        <v>4379</v>
      </c>
      <c r="H38" s="10"/>
      <c r="K38" s="0" t="s">
        <v>235</v>
      </c>
      <c r="M38" s="0" t="s">
        <v>236</v>
      </c>
      <c r="O38" s="0" t="s">
        <v>236</v>
      </c>
      <c r="P38" s="0" t="s">
        <v>237</v>
      </c>
      <c r="R38" s="13" t="n">
        <v>14</v>
      </c>
      <c r="S38" s="13" t="n">
        <v>18</v>
      </c>
      <c r="T38" s="13"/>
      <c r="U38" s="13" t="s">
        <v>203</v>
      </c>
      <c r="V38" s="13" t="n">
        <v>90</v>
      </c>
      <c r="W38" s="13" t="n">
        <v>47</v>
      </c>
      <c r="X38" s="13"/>
      <c r="Y38" s="13" t="s">
        <v>204</v>
      </c>
      <c r="Z38" s="2" t="n">
        <f aca="false">IF((LEN(R38)&gt;0),(R38+S38/60)*(IF(U38="S",-1,1))," ")</f>
        <v>14.3</v>
      </c>
      <c r="AA38" s="2" t="n">
        <f aca="false">IF((LEN(V38)&gt;0),(V38+W38/60)*IF(Y38="W",-1,1)," ")</f>
        <v>-90.7833333333333</v>
      </c>
      <c r="AC38" s="0" t="s">
        <v>63</v>
      </c>
      <c r="AD38" s="0" t="s">
        <v>205</v>
      </c>
    </row>
    <row r="39" customFormat="false" ht="12.75" hidden="false" customHeight="false" outlineLevel="0" collapsed="false">
      <c r="A39" s="0" t="s">
        <v>238</v>
      </c>
      <c r="B39" s="0" t="s">
        <v>197</v>
      </c>
      <c r="C39" s="0" t="s">
        <v>198</v>
      </c>
      <c r="D39" s="0" t="s">
        <v>199</v>
      </c>
      <c r="E39" s="0" t="s">
        <v>58</v>
      </c>
      <c r="F39" s="0" t="s">
        <v>239</v>
      </c>
      <c r="G39" s="10" t="n">
        <v>37803</v>
      </c>
      <c r="H39" s="10"/>
      <c r="K39" s="0" t="s">
        <v>240</v>
      </c>
      <c r="M39" s="0" t="s">
        <v>241</v>
      </c>
      <c r="O39" s="0" t="s">
        <v>242</v>
      </c>
      <c r="P39" s="0" t="s">
        <v>183</v>
      </c>
      <c r="Q39" s="0" t="s">
        <v>243</v>
      </c>
      <c r="R39" s="0" t="n">
        <v>17</v>
      </c>
      <c r="S39" s="0" t="n">
        <v>45.12</v>
      </c>
      <c r="U39" s="0" t="s">
        <v>203</v>
      </c>
      <c r="V39" s="0" t="n">
        <v>88</v>
      </c>
      <c r="W39" s="0" t="n">
        <v>39.2</v>
      </c>
      <c r="Y39" s="0" t="s">
        <v>204</v>
      </c>
      <c r="Z39" s="2" t="n">
        <f aca="false">IF((LEN(R39)&gt;0),(R39+S39/60)*(IF(U39="S",-1,1))," ")</f>
        <v>17.752</v>
      </c>
      <c r="AA39" s="2" t="n">
        <f aca="false">IF((LEN(V39)&gt;0),(V39+W39/60)*IF(Y39="W",-1,1)," ")</f>
        <v>-88.6533333333333</v>
      </c>
      <c r="AC39" s="0" t="s">
        <v>63</v>
      </c>
    </row>
    <row r="40" customFormat="false" ht="12.75" hidden="false" customHeight="false" outlineLevel="0" collapsed="false">
      <c r="A40" s="0" t="s">
        <v>244</v>
      </c>
      <c r="B40" s="0" t="s">
        <v>197</v>
      </c>
      <c r="C40" s="0" t="s">
        <v>198</v>
      </c>
      <c r="D40" s="0" t="s">
        <v>245</v>
      </c>
      <c r="E40" s="0" t="s">
        <v>93</v>
      </c>
      <c r="F40" s="0" t="s">
        <v>246</v>
      </c>
      <c r="G40" s="10" t="n">
        <v>23182</v>
      </c>
      <c r="H40" s="10"/>
      <c r="M40" s="0" t="s">
        <v>247</v>
      </c>
      <c r="O40" s="0" t="s">
        <v>248</v>
      </c>
      <c r="P40" s="0" t="s">
        <v>249</v>
      </c>
      <c r="R40" s="13" t="n">
        <v>13</v>
      </c>
      <c r="S40" s="13" t="n">
        <v>42</v>
      </c>
      <c r="T40" s="13"/>
      <c r="U40" s="13" t="s">
        <v>203</v>
      </c>
      <c r="V40" s="13" t="n">
        <v>89</v>
      </c>
      <c r="W40" s="13" t="n">
        <v>19</v>
      </c>
      <c r="X40" s="13"/>
      <c r="Y40" s="13" t="s">
        <v>204</v>
      </c>
      <c r="Z40" s="2" t="n">
        <f aca="false">IF((LEN(R40)&gt;0),(R40+S40/60)*(IF(U40="S",-1,1))," ")</f>
        <v>13.7</v>
      </c>
      <c r="AA40" s="2" t="n">
        <f aca="false">IF((LEN(V40)&gt;0),(V40+W40/60)*IF(Y40="W",-1,1)," ")</f>
        <v>-89.3166666666667</v>
      </c>
      <c r="AC40" s="0" t="s">
        <v>63</v>
      </c>
      <c r="AD40" s="0" t="s">
        <v>250</v>
      </c>
    </row>
    <row r="41" customFormat="false" ht="12.75" hidden="false" customHeight="false" outlineLevel="0" collapsed="false">
      <c r="A41" s="0" t="s">
        <v>251</v>
      </c>
      <c r="B41" s="0" t="s">
        <v>197</v>
      </c>
      <c r="C41" s="0" t="s">
        <v>198</v>
      </c>
      <c r="D41" s="0" t="s">
        <v>245</v>
      </c>
      <c r="E41" s="0" t="s">
        <v>93</v>
      </c>
      <c r="F41" s="0" t="s">
        <v>246</v>
      </c>
      <c r="G41" s="10" t="n">
        <v>23182</v>
      </c>
      <c r="H41" s="10"/>
      <c r="M41" s="0" t="s">
        <v>247</v>
      </c>
      <c r="O41" s="0" t="s">
        <v>248</v>
      </c>
      <c r="P41" s="0" t="s">
        <v>249</v>
      </c>
      <c r="R41" s="13" t="n">
        <v>13</v>
      </c>
      <c r="S41" s="13" t="n">
        <v>42</v>
      </c>
      <c r="T41" s="13"/>
      <c r="U41" s="13" t="s">
        <v>203</v>
      </c>
      <c r="V41" s="13" t="n">
        <v>89</v>
      </c>
      <c r="W41" s="13" t="n">
        <v>19</v>
      </c>
      <c r="X41" s="13"/>
      <c r="Y41" s="13" t="s">
        <v>204</v>
      </c>
      <c r="Z41" s="2" t="n">
        <f aca="false">IF((LEN(R41)&gt;0),(R41+S41/60)*(IF(U41="S",-1,1))," ")</f>
        <v>13.7</v>
      </c>
      <c r="AA41" s="2" t="n">
        <f aca="false">IF((LEN(V41)&gt;0),(V41+W41/60)*IF(Y41="W",-1,1)," ")</f>
        <v>-89.3166666666667</v>
      </c>
      <c r="AC41" s="0" t="s">
        <v>63</v>
      </c>
      <c r="AD41" s="0" t="s">
        <v>250</v>
      </c>
    </row>
    <row r="42" customFormat="false" ht="12.75" hidden="false" customHeight="false" outlineLevel="0" collapsed="false">
      <c r="A42" s="0" t="s">
        <v>252</v>
      </c>
      <c r="B42" s="0" t="s">
        <v>197</v>
      </c>
      <c r="C42" s="0" t="s">
        <v>198</v>
      </c>
      <c r="D42" s="0" t="s">
        <v>245</v>
      </c>
      <c r="E42" s="0" t="s">
        <v>93</v>
      </c>
      <c r="F42" s="0" t="s">
        <v>253</v>
      </c>
      <c r="G42" s="10" t="n">
        <v>22478</v>
      </c>
      <c r="H42" s="10"/>
      <c r="M42" s="0" t="s">
        <v>254</v>
      </c>
      <c r="O42" s="0" t="s">
        <v>248</v>
      </c>
      <c r="P42" s="0" t="s">
        <v>249</v>
      </c>
      <c r="R42" s="13" t="n">
        <v>13</v>
      </c>
      <c r="S42" s="13" t="n">
        <v>42</v>
      </c>
      <c r="T42" s="13"/>
      <c r="U42" s="13" t="s">
        <v>203</v>
      </c>
      <c r="V42" s="13" t="n">
        <v>89</v>
      </c>
      <c r="W42" s="13" t="n">
        <v>19</v>
      </c>
      <c r="X42" s="13"/>
      <c r="Y42" s="13" t="s">
        <v>204</v>
      </c>
      <c r="Z42" s="2" t="n">
        <f aca="false">IF((LEN(R42)&gt;0),(R42+S42/60)*(IF(U42="S",-1,1))," ")</f>
        <v>13.7</v>
      </c>
      <c r="AA42" s="2" t="n">
        <f aca="false">IF((LEN(V42)&gt;0),(V42+W42/60)*IF(Y42="W",-1,1)," ")</f>
        <v>-89.3166666666667</v>
      </c>
      <c r="AC42" s="0" t="s">
        <v>63</v>
      </c>
      <c r="AD42" s="0" t="s">
        <v>255</v>
      </c>
    </row>
    <row r="43" customFormat="false" ht="12.75" hidden="false" customHeight="false" outlineLevel="0" collapsed="false">
      <c r="A43" s="0" t="s">
        <v>256</v>
      </c>
      <c r="B43" s="0" t="s">
        <v>197</v>
      </c>
      <c r="C43" s="0" t="s">
        <v>198</v>
      </c>
      <c r="D43" s="0" t="s">
        <v>245</v>
      </c>
      <c r="E43" s="0" t="s">
        <v>93</v>
      </c>
      <c r="F43" s="0" t="s">
        <v>246</v>
      </c>
      <c r="G43" s="10" t="n">
        <v>23195</v>
      </c>
      <c r="H43" s="10"/>
      <c r="M43" s="0" t="s">
        <v>257</v>
      </c>
      <c r="O43" s="0" t="s">
        <v>248</v>
      </c>
      <c r="P43" s="0" t="s">
        <v>249</v>
      </c>
      <c r="R43" s="13" t="n">
        <v>13</v>
      </c>
      <c r="S43" s="13" t="n">
        <v>50</v>
      </c>
      <c r="T43" s="13"/>
      <c r="U43" s="13" t="s">
        <v>203</v>
      </c>
      <c r="V43" s="13" t="n">
        <v>89</v>
      </c>
      <c r="W43" s="13" t="n">
        <v>17</v>
      </c>
      <c r="X43" s="13"/>
      <c r="Y43" s="13" t="s">
        <v>204</v>
      </c>
      <c r="Z43" s="2" t="n">
        <f aca="false">IF((LEN(R43)&gt;0),(R43+S43/60)*(IF(U43="S",-1,1))," ")</f>
        <v>13.8333333333333</v>
      </c>
      <c r="AA43" s="2" t="n">
        <f aca="false">IF((LEN(V43)&gt;0),(V43+W43/60)*IF(Y43="W",-1,1)," ")</f>
        <v>-89.2833333333333</v>
      </c>
      <c r="AC43" s="0" t="s">
        <v>63</v>
      </c>
      <c r="AD43" s="0" t="s">
        <v>205</v>
      </c>
    </row>
    <row r="44" customFormat="false" ht="12.75" hidden="false" customHeight="false" outlineLevel="0" collapsed="false">
      <c r="A44" s="0" t="s">
        <v>258</v>
      </c>
      <c r="B44" s="0" t="s">
        <v>197</v>
      </c>
      <c r="C44" s="0" t="s">
        <v>198</v>
      </c>
      <c r="D44" s="0" t="s">
        <v>245</v>
      </c>
      <c r="E44" s="0" t="s">
        <v>93</v>
      </c>
      <c r="F44" s="0" t="s">
        <v>246</v>
      </c>
      <c r="G44" s="10" t="n">
        <v>23208</v>
      </c>
      <c r="H44" s="10"/>
      <c r="M44" s="0" t="s">
        <v>257</v>
      </c>
      <c r="O44" s="0" t="s">
        <v>248</v>
      </c>
      <c r="P44" s="0" t="s">
        <v>249</v>
      </c>
      <c r="R44" s="13" t="n">
        <v>13</v>
      </c>
      <c r="S44" s="13" t="n">
        <v>50</v>
      </c>
      <c r="T44" s="13"/>
      <c r="U44" s="13" t="s">
        <v>203</v>
      </c>
      <c r="V44" s="13" t="n">
        <v>89</v>
      </c>
      <c r="W44" s="13" t="n">
        <v>17</v>
      </c>
      <c r="X44" s="13"/>
      <c r="Y44" s="13" t="s">
        <v>204</v>
      </c>
      <c r="Z44" s="2" t="n">
        <f aca="false">IF((LEN(R44)&gt;0),(R44+S44/60)*(IF(U44="S",-1,1))," ")</f>
        <v>13.8333333333333</v>
      </c>
      <c r="AA44" s="2" t="n">
        <f aca="false">IF((LEN(V44)&gt;0),(V44+W44/60)*IF(Y44="W",-1,1)," ")</f>
        <v>-89.2833333333333</v>
      </c>
      <c r="AC44" s="0" t="s">
        <v>63</v>
      </c>
      <c r="AD44" s="0" t="s">
        <v>205</v>
      </c>
    </row>
    <row r="45" customFormat="false" ht="12.75" hidden="false" customHeight="false" outlineLevel="0" collapsed="false">
      <c r="A45" s="0" t="s">
        <v>259</v>
      </c>
      <c r="B45" s="0" t="s">
        <v>197</v>
      </c>
      <c r="C45" s="0" t="s">
        <v>198</v>
      </c>
      <c r="D45" s="0" t="s">
        <v>245</v>
      </c>
      <c r="E45" s="0" t="s">
        <v>58</v>
      </c>
      <c r="F45" s="0" t="s">
        <v>260</v>
      </c>
      <c r="G45" s="10" t="n">
        <v>27827</v>
      </c>
      <c r="H45" s="10"/>
      <c r="M45" s="0" t="s">
        <v>261</v>
      </c>
      <c r="O45" s="0" t="s">
        <v>262</v>
      </c>
      <c r="P45" s="0" t="s">
        <v>263</v>
      </c>
      <c r="R45" s="13" t="n">
        <v>10</v>
      </c>
      <c r="S45" s="13" t="n">
        <v>27</v>
      </c>
      <c r="T45" s="13"/>
      <c r="U45" s="13" t="s">
        <v>203</v>
      </c>
      <c r="V45" s="13" t="n">
        <v>85</v>
      </c>
      <c r="W45" s="13" t="n">
        <v>8</v>
      </c>
      <c r="X45" s="13"/>
      <c r="Y45" s="13" t="s">
        <v>204</v>
      </c>
      <c r="Z45" s="2" t="n">
        <f aca="false">IF((LEN(R45)&gt;0),(R45+S45/60)*(IF(U45="S",-1,1))," ")</f>
        <v>10.45</v>
      </c>
      <c r="AA45" s="2" t="n">
        <f aca="false">IF((LEN(V45)&gt;0),(V45+W45/60)*IF(Y45="W",-1,1)," ")</f>
        <v>-85.1333333333333</v>
      </c>
      <c r="AC45" s="0" t="s">
        <v>63</v>
      </c>
      <c r="AD45" s="0" t="s">
        <v>264</v>
      </c>
    </row>
    <row r="46" customFormat="false" ht="12.75" hidden="false" customHeight="false" outlineLevel="0" collapsed="false">
      <c r="A46" s="0" t="s">
        <v>265</v>
      </c>
      <c r="B46" s="0" t="s">
        <v>197</v>
      </c>
      <c r="C46" s="0" t="s">
        <v>198</v>
      </c>
      <c r="D46" s="0" t="s">
        <v>245</v>
      </c>
      <c r="E46" s="0" t="s">
        <v>58</v>
      </c>
      <c r="F46" s="0" t="s">
        <v>260</v>
      </c>
      <c r="G46" s="10" t="n">
        <v>27827</v>
      </c>
      <c r="H46" s="10"/>
      <c r="M46" s="0" t="s">
        <v>261</v>
      </c>
      <c r="O46" s="0" t="s">
        <v>262</v>
      </c>
      <c r="P46" s="0" t="s">
        <v>263</v>
      </c>
      <c r="R46" s="13" t="n">
        <v>10</v>
      </c>
      <c r="S46" s="13" t="n">
        <v>27</v>
      </c>
      <c r="T46" s="13"/>
      <c r="U46" s="13" t="s">
        <v>203</v>
      </c>
      <c r="V46" s="13" t="n">
        <v>85</v>
      </c>
      <c r="W46" s="13" t="n">
        <v>8</v>
      </c>
      <c r="X46" s="13"/>
      <c r="Y46" s="13" t="s">
        <v>204</v>
      </c>
      <c r="Z46" s="2" t="n">
        <f aca="false">IF((LEN(R46)&gt;0),(R46+S46/60)*(IF(U46="S",-1,1))," ")</f>
        <v>10.45</v>
      </c>
      <c r="AA46" s="2" t="n">
        <f aca="false">IF((LEN(V46)&gt;0),(V46+W46/60)*IF(Y46="W",-1,1)," ")</f>
        <v>-85.1333333333333</v>
      </c>
      <c r="AC46" s="0" t="s">
        <v>63</v>
      </c>
      <c r="AD46" s="0" t="s">
        <v>264</v>
      </c>
    </row>
    <row r="47" customFormat="false" ht="12.75" hidden="false" customHeight="false" outlineLevel="0" collapsed="false">
      <c r="A47" s="0" t="s">
        <v>266</v>
      </c>
      <c r="B47" s="0" t="s">
        <v>197</v>
      </c>
      <c r="C47" s="0" t="s">
        <v>198</v>
      </c>
      <c r="D47" s="0" t="s">
        <v>245</v>
      </c>
      <c r="E47" s="0" t="s">
        <v>58</v>
      </c>
      <c r="F47" s="0" t="s">
        <v>267</v>
      </c>
      <c r="G47" s="10" t="n">
        <v>26339</v>
      </c>
      <c r="H47" s="10"/>
      <c r="M47" s="0" t="s">
        <v>268</v>
      </c>
      <c r="O47" s="0" t="s">
        <v>262</v>
      </c>
      <c r="P47" s="0" t="s">
        <v>263</v>
      </c>
      <c r="R47" s="13"/>
      <c r="S47" s="13"/>
      <c r="T47" s="13"/>
      <c r="U47" s="13"/>
      <c r="V47" s="13"/>
      <c r="W47" s="13"/>
      <c r="X47" s="13"/>
      <c r="Y47" s="13"/>
      <c r="Z47" s="2" t="str">
        <f aca="false">IF((LEN(R47)&gt;0),(R47+S47/60)*(IF(U47="S",-1,1))," ")</f>
        <v> </v>
      </c>
      <c r="AA47" s="2" t="str">
        <f aca="false">IF((LEN(V47)&gt;0),(V47+W47/60)*IF(Y47="W",-1,1)," ")</f>
        <v> </v>
      </c>
      <c r="AC47" s="0" t="s">
        <v>63</v>
      </c>
      <c r="AD47" s="0" t="s">
        <v>269</v>
      </c>
    </row>
    <row r="48" customFormat="false" ht="12.75" hidden="false" customHeight="false" outlineLevel="0" collapsed="false">
      <c r="A48" s="0" t="s">
        <v>270</v>
      </c>
      <c r="B48" s="0" t="s">
        <v>197</v>
      </c>
      <c r="C48" s="0" t="s">
        <v>198</v>
      </c>
      <c r="D48" s="0" t="s">
        <v>245</v>
      </c>
      <c r="E48" s="0" t="s">
        <v>58</v>
      </c>
      <c r="F48" s="0" t="s">
        <v>267</v>
      </c>
      <c r="G48" s="10" t="n">
        <v>26339</v>
      </c>
      <c r="H48" s="10"/>
      <c r="M48" s="0" t="s">
        <v>268</v>
      </c>
      <c r="O48" s="0" t="s">
        <v>262</v>
      </c>
      <c r="P48" s="0" t="s">
        <v>263</v>
      </c>
      <c r="R48" s="13"/>
      <c r="S48" s="13"/>
      <c r="T48" s="13"/>
      <c r="U48" s="13"/>
      <c r="V48" s="13"/>
      <c r="W48" s="13"/>
      <c r="X48" s="13"/>
      <c r="Y48" s="13"/>
      <c r="Z48" s="2" t="str">
        <f aca="false">IF((LEN(R48)&gt;0),(R48+S48/60)*(IF(U48="S",-1,1))," ")</f>
        <v> </v>
      </c>
      <c r="AA48" s="2" t="str">
        <f aca="false">IF((LEN(V48)&gt;0),(V48+W48/60)*IF(Y48="W",-1,1)," ")</f>
        <v> </v>
      </c>
      <c r="AC48" s="0" t="s">
        <v>63</v>
      </c>
      <c r="AD48" s="0" t="s">
        <v>269</v>
      </c>
    </row>
    <row r="49" customFormat="false" ht="12.75" hidden="false" customHeight="false" outlineLevel="0" collapsed="false">
      <c r="A49" s="0" t="s">
        <v>271</v>
      </c>
      <c r="B49" s="0" t="s">
        <v>197</v>
      </c>
      <c r="C49" s="0" t="s">
        <v>198</v>
      </c>
      <c r="D49" s="0" t="s">
        <v>245</v>
      </c>
      <c r="E49" s="0" t="s">
        <v>225</v>
      </c>
      <c r="F49" s="0" t="s">
        <v>272</v>
      </c>
      <c r="G49" s="10" t="n">
        <v>31382</v>
      </c>
      <c r="H49" s="10"/>
      <c r="K49" s="0" t="s">
        <v>227</v>
      </c>
      <c r="M49" s="0" t="s">
        <v>273</v>
      </c>
      <c r="O49" s="0" t="s">
        <v>262</v>
      </c>
      <c r="P49" s="0" t="s">
        <v>263</v>
      </c>
      <c r="R49" s="13" t="n">
        <v>10</v>
      </c>
      <c r="S49" s="13" t="n">
        <v>21</v>
      </c>
      <c r="T49" s="13"/>
      <c r="U49" s="13" t="s">
        <v>203</v>
      </c>
      <c r="V49" s="13" t="n">
        <v>85</v>
      </c>
      <c r="W49" s="13" t="n">
        <v>21</v>
      </c>
      <c r="X49" s="13"/>
      <c r="Y49" s="13" t="s">
        <v>204</v>
      </c>
      <c r="Z49" s="2" t="n">
        <f aca="false">IF((LEN(R49)&gt;0),(R49+S49/60)*(IF(U49="S",-1,1))," ")</f>
        <v>10.35</v>
      </c>
      <c r="AA49" s="2" t="n">
        <f aca="false">IF((LEN(V49)&gt;0),(V49+W49/60)*IF(Y49="W",-1,1)," ")</f>
        <v>-85.35</v>
      </c>
      <c r="AC49" s="0" t="s">
        <v>63</v>
      </c>
      <c r="AD49" s="0" t="s">
        <v>205</v>
      </c>
    </row>
    <row r="50" customFormat="false" ht="12.75" hidden="false" customHeight="false" outlineLevel="0" collapsed="false">
      <c r="A50" s="0" t="s">
        <v>274</v>
      </c>
      <c r="B50" s="0" t="s">
        <v>197</v>
      </c>
      <c r="C50" s="0" t="s">
        <v>198</v>
      </c>
      <c r="D50" s="0" t="s">
        <v>245</v>
      </c>
      <c r="E50" s="0" t="s">
        <v>132</v>
      </c>
      <c r="F50" s="0" t="s">
        <v>226</v>
      </c>
      <c r="G50" s="10" t="n">
        <v>29003</v>
      </c>
      <c r="H50" s="10" t="n">
        <v>29005</v>
      </c>
      <c r="J50" s="0" t="s">
        <v>275</v>
      </c>
      <c r="K50" s="0" t="s">
        <v>227</v>
      </c>
      <c r="L50" s="0" t="s">
        <v>276</v>
      </c>
      <c r="M50" s="0" t="s">
        <v>277</v>
      </c>
      <c r="O50" s="0" t="s">
        <v>262</v>
      </c>
      <c r="P50" s="0" t="s">
        <v>263</v>
      </c>
      <c r="Q50" s="0" t="s">
        <v>278</v>
      </c>
      <c r="R50" s="13" t="n">
        <v>10</v>
      </c>
      <c r="S50" s="13" t="n">
        <v>27</v>
      </c>
      <c r="T50" s="13"/>
      <c r="U50" s="13" t="s">
        <v>203</v>
      </c>
      <c r="V50" s="13" t="n">
        <v>85</v>
      </c>
      <c r="W50" s="13" t="n">
        <v>8</v>
      </c>
      <c r="X50" s="13"/>
      <c r="Y50" s="13" t="s">
        <v>204</v>
      </c>
      <c r="Z50" s="2" t="n">
        <f aca="false">IF((LEN(R50)&gt;0),(R50+S50/60)*(IF(U50="S",-1,1))," ")</f>
        <v>10.45</v>
      </c>
      <c r="AA50" s="2" t="n">
        <f aca="false">IF((LEN(V50)&gt;0),(V50+W50/60)*IF(Y50="W",-1,1)," ")</f>
        <v>-85.1333333333333</v>
      </c>
      <c r="AB50" s="0" t="s">
        <v>231</v>
      </c>
      <c r="AC50" s="0" t="s">
        <v>63</v>
      </c>
      <c r="AD50" s="0" t="s">
        <v>279</v>
      </c>
    </row>
    <row r="51" customFormat="false" ht="12.75" hidden="false" customHeight="false" outlineLevel="0" collapsed="false">
      <c r="A51" s="0" t="s">
        <v>280</v>
      </c>
      <c r="B51" s="0" t="s">
        <v>197</v>
      </c>
      <c r="C51" s="0" t="s">
        <v>198</v>
      </c>
      <c r="D51" s="0" t="s">
        <v>245</v>
      </c>
      <c r="E51" s="0" t="s">
        <v>101</v>
      </c>
      <c r="F51" s="0" t="s">
        <v>226</v>
      </c>
      <c r="G51" s="10" t="n">
        <v>30664</v>
      </c>
      <c r="H51" s="10"/>
      <c r="J51" s="0" t="s">
        <v>106</v>
      </c>
      <c r="K51" s="0" t="s">
        <v>281</v>
      </c>
      <c r="L51" s="0" t="s">
        <v>282</v>
      </c>
      <c r="M51" s="0" t="s">
        <v>283</v>
      </c>
      <c r="O51" s="0" t="s">
        <v>262</v>
      </c>
      <c r="P51" s="0" t="s">
        <v>263</v>
      </c>
      <c r="Q51" s="0" t="s">
        <v>284</v>
      </c>
      <c r="R51" s="13" t="n">
        <v>10</v>
      </c>
      <c r="S51" s="13" t="n">
        <v>51</v>
      </c>
      <c r="T51" s="13"/>
      <c r="U51" s="13" t="s">
        <v>203</v>
      </c>
      <c r="V51" s="13" t="n">
        <v>85</v>
      </c>
      <c r="W51" s="13" t="n">
        <v>37</v>
      </c>
      <c r="X51" s="13"/>
      <c r="Y51" s="13" t="s">
        <v>204</v>
      </c>
      <c r="Z51" s="2" t="n">
        <f aca="false">IF((LEN(R51)&gt;0),(R51+S51/60)*(IF(U51="S",-1,1))," ")</f>
        <v>10.85</v>
      </c>
      <c r="AA51" s="2" t="n">
        <f aca="false">IF((LEN(V51)&gt;0),(V51+W51/60)*IF(Y51="W",-1,1)," ")</f>
        <v>-85.6166666666667</v>
      </c>
      <c r="AB51" s="0" t="s">
        <v>231</v>
      </c>
      <c r="AC51" s="0" t="s">
        <v>63</v>
      </c>
      <c r="AD51" s="0" t="s">
        <v>285</v>
      </c>
    </row>
    <row r="52" customFormat="false" ht="12.75" hidden="false" customHeight="false" outlineLevel="0" collapsed="false">
      <c r="A52" s="0" t="s">
        <v>286</v>
      </c>
      <c r="B52" s="0" t="s">
        <v>197</v>
      </c>
      <c r="C52" s="0" t="s">
        <v>198</v>
      </c>
      <c r="D52" s="0" t="s">
        <v>245</v>
      </c>
      <c r="E52" s="0" t="s">
        <v>225</v>
      </c>
      <c r="F52" s="0" t="s">
        <v>226</v>
      </c>
      <c r="G52" s="10" t="n">
        <v>30665</v>
      </c>
      <c r="H52" s="10"/>
      <c r="J52" s="0" t="s">
        <v>287</v>
      </c>
      <c r="K52" s="0" t="s">
        <v>281</v>
      </c>
      <c r="L52" s="0" t="s">
        <v>288</v>
      </c>
      <c r="M52" s="0" t="s">
        <v>283</v>
      </c>
      <c r="O52" s="0" t="s">
        <v>262</v>
      </c>
      <c r="P52" s="0" t="s">
        <v>263</v>
      </c>
      <c r="Q52" s="0" t="s">
        <v>289</v>
      </c>
      <c r="R52" s="13" t="n">
        <v>10</v>
      </c>
      <c r="S52" s="13" t="n">
        <v>47</v>
      </c>
      <c r="T52" s="13"/>
      <c r="U52" s="13" t="s">
        <v>203</v>
      </c>
      <c r="V52" s="13" t="n">
        <v>85</v>
      </c>
      <c r="W52" s="13" t="n">
        <v>40</v>
      </c>
      <c r="X52" s="13"/>
      <c r="Y52" s="13" t="s">
        <v>204</v>
      </c>
      <c r="Z52" s="2" t="n">
        <f aca="false">IF((LEN(R52)&gt;0),(R52+S52/60)*(IF(U52="S",-1,1))," ")</f>
        <v>10.7833333333333</v>
      </c>
      <c r="AA52" s="2" t="n">
        <f aca="false">IF((LEN(V52)&gt;0),(V52+W52/60)*IF(Y52="W",-1,1)," ")</f>
        <v>-85.6666666666667</v>
      </c>
      <c r="AB52" s="0" t="s">
        <v>231</v>
      </c>
      <c r="AC52" s="0" t="s">
        <v>63</v>
      </c>
      <c r="AD52" s="0" t="s">
        <v>290</v>
      </c>
    </row>
    <row r="53" customFormat="false" ht="12.75" hidden="false" customHeight="false" outlineLevel="0" collapsed="false">
      <c r="A53" s="0" t="s">
        <v>291</v>
      </c>
      <c r="B53" s="0" t="s">
        <v>197</v>
      </c>
      <c r="C53" s="0" t="s">
        <v>198</v>
      </c>
      <c r="D53" s="0" t="s">
        <v>245</v>
      </c>
      <c r="E53" s="0" t="s">
        <v>225</v>
      </c>
      <c r="F53" s="0" t="s">
        <v>226</v>
      </c>
      <c r="G53" s="10" t="n">
        <v>31257</v>
      </c>
      <c r="H53" s="10"/>
      <c r="J53" s="0" t="s">
        <v>292</v>
      </c>
      <c r="K53" s="0" t="s">
        <v>227</v>
      </c>
      <c r="L53" s="0" t="s">
        <v>293</v>
      </c>
      <c r="M53" s="0" t="s">
        <v>294</v>
      </c>
      <c r="O53" s="0" t="s">
        <v>295</v>
      </c>
      <c r="P53" s="0" t="s">
        <v>263</v>
      </c>
      <c r="Q53" s="0" t="s">
        <v>230</v>
      </c>
      <c r="R53" s="13" t="n">
        <v>9</v>
      </c>
      <c r="S53" s="13" t="n">
        <v>46</v>
      </c>
      <c r="T53" s="13"/>
      <c r="U53" s="13" t="s">
        <v>203</v>
      </c>
      <c r="V53" s="13" t="n">
        <v>84</v>
      </c>
      <c r="W53" s="13" t="n">
        <v>37</v>
      </c>
      <c r="X53" s="13"/>
      <c r="Y53" s="13" t="s">
        <v>204</v>
      </c>
      <c r="Z53" s="2" t="n">
        <f aca="false">IF((LEN(R53)&gt;0),(R53+S53/60)*(IF(U53="S",-1,1))," ")</f>
        <v>9.76666666666667</v>
      </c>
      <c r="AA53" s="2" t="n">
        <f aca="false">IF((LEN(V53)&gt;0),(V53+W53/60)*IF(Y53="W",-1,1)," ")</f>
        <v>-84.6166666666667</v>
      </c>
      <c r="AB53" s="0" t="s">
        <v>231</v>
      </c>
      <c r="AC53" s="0" t="s">
        <v>63</v>
      </c>
      <c r="AD53" s="0" t="s">
        <v>296</v>
      </c>
    </row>
    <row r="54" customFormat="false" ht="12.75" hidden="false" customHeight="false" outlineLevel="0" collapsed="false">
      <c r="A54" s="0" t="s">
        <v>297</v>
      </c>
      <c r="B54" s="0" t="s">
        <v>197</v>
      </c>
      <c r="C54" s="0" t="s">
        <v>198</v>
      </c>
      <c r="D54" s="0" t="s">
        <v>245</v>
      </c>
      <c r="E54" s="0" t="s">
        <v>93</v>
      </c>
      <c r="F54" s="0" t="s">
        <v>214</v>
      </c>
      <c r="G54" s="10" t="n">
        <v>33835</v>
      </c>
      <c r="H54" s="10"/>
      <c r="I54" s="0" t="s">
        <v>84</v>
      </c>
      <c r="M54" s="0" t="s">
        <v>298</v>
      </c>
      <c r="O54" s="0" t="s">
        <v>262</v>
      </c>
      <c r="P54" s="0" t="s">
        <v>263</v>
      </c>
      <c r="R54" s="14" t="n">
        <v>10</v>
      </c>
      <c r="S54" s="14" t="n">
        <v>26</v>
      </c>
      <c r="T54" s="14"/>
      <c r="U54" s="14" t="s">
        <v>203</v>
      </c>
      <c r="V54" s="14" t="n">
        <v>85</v>
      </c>
      <c r="W54" s="14" t="n">
        <v>6</v>
      </c>
      <c r="X54" s="14"/>
      <c r="Y54" s="14" t="s">
        <v>204</v>
      </c>
      <c r="Z54" s="2" t="n">
        <f aca="false">IF((LEN(R54)&gt;0),(R54+S54/60)*(IF(U54="S",-1,1))," ")</f>
        <v>10.4333333333333</v>
      </c>
      <c r="AA54" s="2" t="n">
        <f aca="false">IF((LEN(V54)&gt;0),(V54+W54/60)*IF(Y54="W",-1,1)," ")</f>
        <v>-85.1</v>
      </c>
      <c r="AC54" s="0" t="s">
        <v>63</v>
      </c>
      <c r="AD54" s="0" t="s">
        <v>205</v>
      </c>
    </row>
    <row r="55" customFormat="false" ht="12.75" hidden="false" customHeight="false" outlineLevel="0" collapsed="false">
      <c r="A55" s="0" t="s">
        <v>299</v>
      </c>
      <c r="B55" s="0" t="s">
        <v>197</v>
      </c>
      <c r="C55" s="0" t="s">
        <v>198</v>
      </c>
      <c r="D55" s="0" t="s">
        <v>245</v>
      </c>
      <c r="E55" s="0" t="s">
        <v>35</v>
      </c>
      <c r="F55" s="0" t="s">
        <v>226</v>
      </c>
      <c r="G55" s="10" t="n">
        <v>37939</v>
      </c>
      <c r="H55" s="10"/>
      <c r="J55" s="0" t="s">
        <v>300</v>
      </c>
      <c r="K55" s="0" t="s">
        <v>227</v>
      </c>
      <c r="L55" s="0" t="s">
        <v>301</v>
      </c>
      <c r="M55" s="0" t="s">
        <v>302</v>
      </c>
      <c r="O55" s="0" t="s">
        <v>303</v>
      </c>
      <c r="P55" s="0" t="s">
        <v>237</v>
      </c>
      <c r="Q55" s="0" t="s">
        <v>304</v>
      </c>
      <c r="R55" s="13" t="n">
        <v>14</v>
      </c>
      <c r="S55" s="13" t="n">
        <v>14</v>
      </c>
      <c r="T55" s="13"/>
      <c r="U55" s="13" t="s">
        <v>203</v>
      </c>
      <c r="V55" s="13" t="n">
        <v>90</v>
      </c>
      <c r="W55" s="13" t="n">
        <v>20</v>
      </c>
      <c r="X55" s="13"/>
      <c r="Y55" s="13" t="s">
        <v>204</v>
      </c>
      <c r="Z55" s="2" t="n">
        <f aca="false">IF((LEN(R55)&gt;0),(R55+S55/60)*(IF(U55="S",-1,1))," ")</f>
        <v>14.2333333333333</v>
      </c>
      <c r="AA55" s="2" t="n">
        <f aca="false">IF((LEN(V55)&gt;0),(V55+W55/60)*IF(Y55="W",-1,1)," ")</f>
        <v>-90.3333333333333</v>
      </c>
      <c r="AB55" s="0" t="s">
        <v>231</v>
      </c>
      <c r="AC55" s="0" t="s">
        <v>63</v>
      </c>
      <c r="AD55" s="0" t="s">
        <v>305</v>
      </c>
    </row>
    <row r="56" customFormat="false" ht="12.75" hidden="false" customHeight="false" outlineLevel="0" collapsed="false">
      <c r="A56" s="0" t="s">
        <v>306</v>
      </c>
      <c r="B56" s="0" t="s">
        <v>197</v>
      </c>
      <c r="C56" s="0" t="s">
        <v>198</v>
      </c>
      <c r="D56" s="0" t="s">
        <v>245</v>
      </c>
      <c r="E56" s="0" t="s">
        <v>307</v>
      </c>
      <c r="F56" s="0" t="s">
        <v>308</v>
      </c>
      <c r="G56" s="10" t="n">
        <v>35900</v>
      </c>
      <c r="H56" s="10"/>
      <c r="I56" s="0" t="s">
        <v>84</v>
      </c>
      <c r="M56" s="0" t="s">
        <v>309</v>
      </c>
      <c r="O56" s="0" t="s">
        <v>310</v>
      </c>
      <c r="P56" s="0" t="s">
        <v>311</v>
      </c>
      <c r="R56" s="13" t="n">
        <v>11</v>
      </c>
      <c r="S56" s="13" t="n">
        <v>29</v>
      </c>
      <c r="T56" s="13"/>
      <c r="U56" s="13" t="s">
        <v>203</v>
      </c>
      <c r="V56" s="13" t="n">
        <v>85</v>
      </c>
      <c r="W56" s="13" t="n">
        <v>39</v>
      </c>
      <c r="X56" s="13"/>
      <c r="Y56" s="13" t="s">
        <v>204</v>
      </c>
      <c r="Z56" s="2" t="n">
        <f aca="false">IF((LEN(R56)&gt;0),(R56+S56/60)*(IF(U56="S",-1,1))," ")</f>
        <v>11.4833333333333</v>
      </c>
      <c r="AA56" s="2" t="n">
        <f aca="false">IF((LEN(V56)&gt;0),(V56+W56/60)*IF(Y56="W",-1,1)," ")</f>
        <v>-85.65</v>
      </c>
      <c r="AC56" s="0" t="s">
        <v>63</v>
      </c>
      <c r="AD56" s="0" t="s">
        <v>205</v>
      </c>
    </row>
    <row r="57" customFormat="false" ht="12.75" hidden="false" customHeight="false" outlineLevel="0" collapsed="false">
      <c r="A57" s="0" t="s">
        <v>312</v>
      </c>
      <c r="B57" s="0" t="s">
        <v>313</v>
      </c>
      <c r="C57" s="0" t="s">
        <v>314</v>
      </c>
      <c r="D57" s="12" t="s">
        <v>315</v>
      </c>
      <c r="E57" s="0" t="s">
        <v>58</v>
      </c>
      <c r="F57" s="0" t="s">
        <v>316</v>
      </c>
      <c r="G57" s="10" t="n">
        <v>39580</v>
      </c>
      <c r="H57" s="10"/>
      <c r="J57" s="0" t="s">
        <v>317</v>
      </c>
      <c r="K57" s="0" t="s">
        <v>318</v>
      </c>
      <c r="M57" s="0" t="s">
        <v>319</v>
      </c>
      <c r="O57" s="0" t="s">
        <v>320</v>
      </c>
      <c r="P57" s="0" t="s">
        <v>195</v>
      </c>
      <c r="Q57" s="0" t="s">
        <v>321</v>
      </c>
      <c r="Z57" s="2" t="n">
        <v>16.1522</v>
      </c>
      <c r="AA57" s="2" t="n">
        <v>-93.6007</v>
      </c>
      <c r="AC57" s="0" t="s">
        <v>63</v>
      </c>
    </row>
    <row r="58" customFormat="false" ht="12.75" hidden="false" customHeight="false" outlineLevel="0" collapsed="false">
      <c r="A58" s="0" t="s">
        <v>322</v>
      </c>
      <c r="B58" s="0" t="s">
        <v>32</v>
      </c>
      <c r="C58" s="0" t="s">
        <v>323</v>
      </c>
      <c r="D58" s="0" t="s">
        <v>324</v>
      </c>
      <c r="E58" s="0" t="s">
        <v>58</v>
      </c>
      <c r="F58" s="0" t="s">
        <v>325</v>
      </c>
      <c r="G58" s="10" t="n">
        <v>40805</v>
      </c>
      <c r="H58" s="10"/>
      <c r="J58" s="0" t="s">
        <v>326</v>
      </c>
      <c r="K58" s="0" t="s">
        <v>327</v>
      </c>
      <c r="O58" s="0" t="s">
        <v>328</v>
      </c>
      <c r="P58" s="0" t="s">
        <v>329</v>
      </c>
      <c r="Q58" s="0" t="s">
        <v>330</v>
      </c>
      <c r="Z58" s="2" t="n">
        <v>20.2419</v>
      </c>
      <c r="AA58" s="2" t="n">
        <v>41.26287</v>
      </c>
      <c r="AC58" s="0" t="s">
        <v>331</v>
      </c>
      <c r="AM58" s="11"/>
      <c r="AN58" s="11"/>
      <c r="BG58" s="11"/>
      <c r="BH58" s="11"/>
    </row>
    <row r="59" customFormat="false" ht="12.75" hidden="false" customHeight="false" outlineLevel="0" collapsed="false">
      <c r="A59" s="0" t="s">
        <v>322</v>
      </c>
      <c r="B59" s="0" t="s">
        <v>32</v>
      </c>
      <c r="C59" s="0" t="s">
        <v>323</v>
      </c>
      <c r="D59" s="0" t="s">
        <v>324</v>
      </c>
      <c r="E59" s="0" t="s">
        <v>58</v>
      </c>
      <c r="F59" s="0" t="s">
        <v>325</v>
      </c>
      <c r="G59" s="10" t="n">
        <v>40805</v>
      </c>
      <c r="H59" s="10"/>
      <c r="J59" s="0" t="s">
        <v>326</v>
      </c>
      <c r="K59" s="0" t="s">
        <v>327</v>
      </c>
      <c r="O59" s="0" t="s">
        <v>328</v>
      </c>
      <c r="P59" s="0" t="s">
        <v>329</v>
      </c>
      <c r="Q59" s="0" t="s">
        <v>330</v>
      </c>
      <c r="Z59" s="2" t="n">
        <v>20.2419</v>
      </c>
      <c r="AA59" s="2" t="n">
        <v>41.26287</v>
      </c>
      <c r="AC59" s="0" t="s">
        <v>331</v>
      </c>
      <c r="AM59" s="11"/>
      <c r="AN59" s="11"/>
      <c r="BG59" s="11"/>
      <c r="BH59" s="11"/>
    </row>
    <row r="60" customFormat="false" ht="12.75" hidden="false" customHeight="false" outlineLevel="0" collapsed="false">
      <c r="A60" s="0" t="s">
        <v>322</v>
      </c>
      <c r="B60" s="0" t="s">
        <v>46</v>
      </c>
      <c r="C60" s="0" t="s">
        <v>170</v>
      </c>
      <c r="D60" s="0" t="s">
        <v>332</v>
      </c>
      <c r="E60" s="0" t="s">
        <v>58</v>
      </c>
      <c r="F60" s="0" t="s">
        <v>325</v>
      </c>
      <c r="G60" s="10" t="n">
        <v>40805</v>
      </c>
      <c r="H60" s="10"/>
      <c r="J60" s="0" t="s">
        <v>326</v>
      </c>
      <c r="K60" s="0" t="s">
        <v>327</v>
      </c>
      <c r="O60" s="0" t="s">
        <v>328</v>
      </c>
      <c r="P60" s="0" t="s">
        <v>329</v>
      </c>
      <c r="Q60" s="0" t="s">
        <v>330</v>
      </c>
      <c r="Z60" s="2" t="n">
        <v>20.2419</v>
      </c>
      <c r="AA60" s="2" t="n">
        <v>41.26287</v>
      </c>
      <c r="AC60" s="0" t="s">
        <v>331</v>
      </c>
      <c r="AM60" s="11"/>
      <c r="AN60" s="11"/>
      <c r="BG60" s="11"/>
    </row>
    <row r="61" customFormat="false" ht="12.75" hidden="false" customHeight="false" outlineLevel="0" collapsed="false">
      <c r="A61" s="0" t="s">
        <v>322</v>
      </c>
      <c r="B61" s="0" t="s">
        <v>46</v>
      </c>
      <c r="C61" s="0" t="s">
        <v>170</v>
      </c>
      <c r="D61" s="0" t="s">
        <v>332</v>
      </c>
      <c r="E61" s="0" t="s">
        <v>58</v>
      </c>
      <c r="F61" s="0" t="s">
        <v>325</v>
      </c>
      <c r="G61" s="10" t="n">
        <v>40805</v>
      </c>
      <c r="H61" s="10"/>
      <c r="J61" s="0" t="s">
        <v>326</v>
      </c>
      <c r="K61" s="0" t="s">
        <v>327</v>
      </c>
      <c r="O61" s="0" t="s">
        <v>328</v>
      </c>
      <c r="P61" s="0" t="s">
        <v>329</v>
      </c>
      <c r="Q61" s="0" t="s">
        <v>330</v>
      </c>
      <c r="Z61" s="2" t="n">
        <v>20.2419</v>
      </c>
      <c r="AA61" s="2" t="n">
        <v>41.26287</v>
      </c>
      <c r="AC61" s="0" t="s">
        <v>331</v>
      </c>
      <c r="AM61" s="11"/>
      <c r="AN61" s="11"/>
      <c r="BG61" s="11"/>
    </row>
    <row r="62" customFormat="false" ht="12.75" hidden="false" customHeight="false" outlineLevel="0" collapsed="false">
      <c r="A62" s="0" t="s">
        <v>333</v>
      </c>
      <c r="B62" s="0" t="s">
        <v>46</v>
      </c>
      <c r="C62" s="0" t="s">
        <v>124</v>
      </c>
      <c r="D62" s="0" t="s">
        <v>334</v>
      </c>
      <c r="E62" s="0" t="s">
        <v>58</v>
      </c>
      <c r="F62" s="0" t="s">
        <v>335</v>
      </c>
      <c r="G62" s="10" t="n">
        <v>37662</v>
      </c>
      <c r="H62" s="10" t="n">
        <v>37665</v>
      </c>
      <c r="I62" s="0" t="s">
        <v>336</v>
      </c>
      <c r="J62" s="0" t="s">
        <v>337</v>
      </c>
      <c r="M62" s="0" t="s">
        <v>338</v>
      </c>
      <c r="O62" s="0" t="s">
        <v>339</v>
      </c>
      <c r="P62" s="0" t="s">
        <v>77</v>
      </c>
      <c r="Q62" s="0" t="s">
        <v>340</v>
      </c>
      <c r="Z62" s="2" t="n">
        <v>-22.31333</v>
      </c>
      <c r="AA62" s="2" t="n">
        <v>45.29167</v>
      </c>
      <c r="AC62" s="0" t="s">
        <v>79</v>
      </c>
      <c r="AM62" s="11"/>
      <c r="AN62" s="11"/>
      <c r="BG62" s="11"/>
      <c r="BH62" s="11"/>
    </row>
    <row r="63" customFormat="false" ht="12.75" hidden="false" customHeight="false" outlineLevel="0" collapsed="false">
      <c r="A63" s="0" t="s">
        <v>333</v>
      </c>
      <c r="B63" s="0" t="s">
        <v>46</v>
      </c>
      <c r="C63" s="0" t="s">
        <v>47</v>
      </c>
      <c r="D63" s="0" t="s">
        <v>341</v>
      </c>
      <c r="E63" s="0" t="s">
        <v>35</v>
      </c>
      <c r="F63" s="0" t="s">
        <v>335</v>
      </c>
      <c r="G63" s="10" t="n">
        <v>37662</v>
      </c>
      <c r="H63" s="10" t="n">
        <v>37665</v>
      </c>
      <c r="I63" s="0" t="s">
        <v>336</v>
      </c>
      <c r="J63" s="0" t="s">
        <v>337</v>
      </c>
      <c r="M63" s="0" t="s">
        <v>338</v>
      </c>
      <c r="O63" s="0" t="s">
        <v>339</v>
      </c>
      <c r="P63" s="0" t="s">
        <v>77</v>
      </c>
      <c r="Q63" s="0" t="s">
        <v>340</v>
      </c>
      <c r="Z63" s="2" t="n">
        <v>-22.31333</v>
      </c>
      <c r="AA63" s="2" t="n">
        <v>45.29167</v>
      </c>
      <c r="AC63" s="0" t="s">
        <v>79</v>
      </c>
      <c r="AM63" s="11"/>
      <c r="AN63" s="11"/>
      <c r="BG63" s="11"/>
      <c r="BH63" s="11"/>
    </row>
    <row r="64" customFormat="false" ht="12.75" hidden="false" customHeight="false" outlineLevel="0" collapsed="false">
      <c r="A64" s="0" t="s">
        <v>342</v>
      </c>
      <c r="B64" s="0" t="s">
        <v>55</v>
      </c>
      <c r="C64" s="0" t="s">
        <v>343</v>
      </c>
      <c r="D64" s="0" t="s">
        <v>344</v>
      </c>
      <c r="E64" s="0" t="s">
        <v>345</v>
      </c>
      <c r="F64" s="0" t="s">
        <v>346</v>
      </c>
      <c r="G64" s="10" t="n">
        <v>39946</v>
      </c>
      <c r="H64" s="10"/>
      <c r="I64" s="0" t="s">
        <v>347</v>
      </c>
      <c r="J64" s="0" t="s">
        <v>348</v>
      </c>
      <c r="K64" s="0" t="s">
        <v>349</v>
      </c>
      <c r="M64" s="0" t="s">
        <v>350</v>
      </c>
      <c r="O64" s="0" t="s">
        <v>351</v>
      </c>
      <c r="P64" s="0" t="s">
        <v>352</v>
      </c>
      <c r="Q64" s="0" t="s">
        <v>353</v>
      </c>
      <c r="Z64" s="2" t="n">
        <v>14.7867</v>
      </c>
      <c r="AA64" s="2" t="n">
        <v>-86.0123</v>
      </c>
      <c r="AB64" s="0" t="s">
        <v>354</v>
      </c>
      <c r="AC64" s="0" t="s">
        <v>63</v>
      </c>
    </row>
    <row r="65" customFormat="false" ht="12.75" hidden="false" customHeight="false" outlineLevel="0" collapsed="false">
      <c r="A65" s="0" t="s">
        <v>355</v>
      </c>
      <c r="B65" s="0" t="s">
        <v>32</v>
      </c>
      <c r="C65" s="0" t="s">
        <v>356</v>
      </c>
      <c r="D65" s="0" t="s">
        <v>357</v>
      </c>
      <c r="E65" s="0" t="s">
        <v>358</v>
      </c>
      <c r="F65" s="0" t="s">
        <v>346</v>
      </c>
      <c r="G65" s="10" t="n">
        <v>40369</v>
      </c>
      <c r="H65" s="10"/>
      <c r="I65" s="0" t="s">
        <v>347</v>
      </c>
      <c r="J65" s="0" t="s">
        <v>359</v>
      </c>
      <c r="K65" s="0" t="s">
        <v>360</v>
      </c>
      <c r="M65" s="0" t="s">
        <v>361</v>
      </c>
      <c r="O65" s="0" t="s">
        <v>41</v>
      </c>
      <c r="P65" s="0" t="s">
        <v>42</v>
      </c>
      <c r="Q65" s="0" t="s">
        <v>362</v>
      </c>
      <c r="Z65" s="2" t="n">
        <v>37.5092</v>
      </c>
      <c r="AA65" s="2" t="n">
        <v>-118.64</v>
      </c>
      <c r="AB65" s="0" t="s">
        <v>363</v>
      </c>
      <c r="AC65" s="0" t="s">
        <v>44</v>
      </c>
    </row>
    <row r="66" customFormat="false" ht="12.75" hidden="false" customHeight="false" outlineLevel="0" collapsed="false">
      <c r="A66" s="0" t="s">
        <v>364</v>
      </c>
      <c r="B66" s="0" t="s">
        <v>46</v>
      </c>
      <c r="C66" s="0" t="s">
        <v>47</v>
      </c>
      <c r="D66" s="0" t="s">
        <v>365</v>
      </c>
      <c r="E66" s="0" t="s">
        <v>345</v>
      </c>
      <c r="F66" s="0" t="s">
        <v>346</v>
      </c>
      <c r="G66" s="10" t="n">
        <v>40412</v>
      </c>
      <c r="H66" s="10"/>
      <c r="I66" s="1" t="s">
        <v>366</v>
      </c>
      <c r="J66" s="0" t="s">
        <v>367</v>
      </c>
      <c r="K66" s="0" t="s">
        <v>318</v>
      </c>
      <c r="M66" s="0" t="s">
        <v>368</v>
      </c>
      <c r="O66" s="0" t="s">
        <v>369</v>
      </c>
      <c r="P66" s="0" t="s">
        <v>370</v>
      </c>
      <c r="Q66" s="0" t="s">
        <v>371</v>
      </c>
      <c r="Z66" s="2" t="n">
        <v>4.94447</v>
      </c>
      <c r="AA66" s="2" t="n">
        <v>117.784</v>
      </c>
      <c r="AB66" s="0" t="s">
        <v>363</v>
      </c>
      <c r="AC66" s="0" t="s">
        <v>372</v>
      </c>
    </row>
    <row r="67" customFormat="false" ht="12.75" hidden="false" customHeight="false" outlineLevel="0" collapsed="false">
      <c r="A67" s="0" t="s">
        <v>373</v>
      </c>
      <c r="B67" s="0" t="s">
        <v>98</v>
      </c>
      <c r="C67" s="0" t="s">
        <v>99</v>
      </c>
      <c r="D67" s="0" t="s">
        <v>374</v>
      </c>
      <c r="E67" s="0" t="s">
        <v>358</v>
      </c>
      <c r="F67" s="0" t="s">
        <v>346</v>
      </c>
      <c r="G67" s="10" t="n">
        <v>40665</v>
      </c>
      <c r="H67" s="10"/>
      <c r="I67" s="0" t="s">
        <v>347</v>
      </c>
      <c r="J67" s="0" t="s">
        <v>375</v>
      </c>
      <c r="K67" s="0" t="s">
        <v>376</v>
      </c>
      <c r="M67" s="0" t="s">
        <v>377</v>
      </c>
      <c r="O67" s="0" t="s">
        <v>378</v>
      </c>
      <c r="P67" s="0" t="s">
        <v>311</v>
      </c>
      <c r="Q67" s="0" t="s">
        <v>379</v>
      </c>
      <c r="Z67" s="2" t="n">
        <v>12.9789</v>
      </c>
      <c r="AA67" s="2" t="n">
        <v>-85.2324</v>
      </c>
      <c r="AB67" s="0" t="s">
        <v>230</v>
      </c>
      <c r="AC67" s="0" t="s">
        <v>63</v>
      </c>
    </row>
    <row r="68" customFormat="false" ht="12.75" hidden="false" customHeight="false" outlineLevel="0" collapsed="false">
      <c r="A68" s="0" t="s">
        <v>380</v>
      </c>
      <c r="B68" s="0" t="s">
        <v>46</v>
      </c>
      <c r="C68" s="0" t="s">
        <v>381</v>
      </c>
      <c r="D68" s="12" t="s">
        <v>382</v>
      </c>
      <c r="E68" s="0" t="s">
        <v>101</v>
      </c>
      <c r="F68" s="0" t="s">
        <v>383</v>
      </c>
      <c r="G68" s="10" t="n">
        <v>40664</v>
      </c>
      <c r="H68" s="10"/>
      <c r="I68" s="0" t="s">
        <v>384</v>
      </c>
      <c r="J68" s="0" t="s">
        <v>385</v>
      </c>
      <c r="K68" s="0" t="s">
        <v>318</v>
      </c>
      <c r="M68" s="0" t="s">
        <v>386</v>
      </c>
      <c r="O68" s="0" t="s">
        <v>387</v>
      </c>
      <c r="P68" s="0" t="s">
        <v>311</v>
      </c>
      <c r="Q68" s="12" t="s">
        <v>388</v>
      </c>
      <c r="Z68" s="2" t="n">
        <v>12.9607</v>
      </c>
      <c r="AA68" s="2" t="n">
        <v>-85.2333</v>
      </c>
      <c r="AB68" s="0" t="s">
        <v>243</v>
      </c>
      <c r="AC68" s="0" t="s">
        <v>63</v>
      </c>
    </row>
    <row r="69" customFormat="false" ht="12.75" hidden="false" customHeight="false" outlineLevel="0" collapsed="false">
      <c r="A69" s="0" t="s">
        <v>389</v>
      </c>
      <c r="B69" s="0" t="s">
        <v>46</v>
      </c>
      <c r="C69" s="0" t="s">
        <v>381</v>
      </c>
      <c r="D69" s="12" t="s">
        <v>382</v>
      </c>
      <c r="E69" s="0" t="s">
        <v>58</v>
      </c>
      <c r="F69" s="0" t="s">
        <v>383</v>
      </c>
      <c r="G69" s="10" t="n">
        <v>40664</v>
      </c>
      <c r="H69" s="10"/>
      <c r="I69" s="0" t="s">
        <v>384</v>
      </c>
      <c r="J69" s="0" t="s">
        <v>385</v>
      </c>
      <c r="K69" s="0" t="s">
        <v>318</v>
      </c>
      <c r="M69" s="0" t="s">
        <v>386</v>
      </c>
      <c r="O69" s="0" t="s">
        <v>387</v>
      </c>
      <c r="P69" s="0" t="s">
        <v>311</v>
      </c>
      <c r="Q69" s="12" t="s">
        <v>388</v>
      </c>
      <c r="Z69" s="2" t="n">
        <v>12.9607</v>
      </c>
      <c r="AA69" s="2" t="n">
        <v>-85.2332</v>
      </c>
      <c r="AB69" s="0" t="s">
        <v>243</v>
      </c>
      <c r="AC69" s="0" t="s">
        <v>63</v>
      </c>
    </row>
    <row r="70" customFormat="false" ht="12.75" hidden="false" customHeight="false" outlineLevel="0" collapsed="false">
      <c r="A70" s="0" t="s">
        <v>390</v>
      </c>
      <c r="B70" s="0" t="s">
        <v>46</v>
      </c>
      <c r="C70" s="0" t="s">
        <v>381</v>
      </c>
      <c r="D70" s="12" t="s">
        <v>382</v>
      </c>
      <c r="E70" s="0" t="s">
        <v>58</v>
      </c>
      <c r="F70" s="0" t="s">
        <v>383</v>
      </c>
      <c r="G70" s="10" t="n">
        <v>40664</v>
      </c>
      <c r="H70" s="10"/>
      <c r="I70" s="0" t="s">
        <v>384</v>
      </c>
      <c r="J70" s="0" t="s">
        <v>385</v>
      </c>
      <c r="K70" s="0" t="s">
        <v>318</v>
      </c>
      <c r="M70" s="0" t="s">
        <v>386</v>
      </c>
      <c r="O70" s="0" t="s">
        <v>387</v>
      </c>
      <c r="P70" s="0" t="s">
        <v>311</v>
      </c>
      <c r="Q70" s="0" t="s">
        <v>388</v>
      </c>
      <c r="Z70" s="2" t="n">
        <v>12.96072</v>
      </c>
      <c r="AA70" s="2" t="n">
        <v>-85.23318</v>
      </c>
      <c r="AB70" s="0" t="s">
        <v>243</v>
      </c>
      <c r="AC70" s="0" t="s">
        <v>63</v>
      </c>
    </row>
    <row r="71" customFormat="false" ht="12.75" hidden="false" customHeight="false" outlineLevel="0" collapsed="false">
      <c r="A71" s="0" t="s">
        <v>391</v>
      </c>
      <c r="B71" s="0" t="s">
        <v>98</v>
      </c>
      <c r="C71" s="0" t="s">
        <v>392</v>
      </c>
      <c r="D71" s="0" t="s">
        <v>393</v>
      </c>
      <c r="E71" s="0" t="s">
        <v>225</v>
      </c>
      <c r="F71" s="0" t="s">
        <v>394</v>
      </c>
      <c r="G71" s="10" t="n">
        <v>18012</v>
      </c>
      <c r="H71" s="10" t="n">
        <v>18024</v>
      </c>
      <c r="M71" s="0" t="s">
        <v>395</v>
      </c>
      <c r="P71" s="0" t="s">
        <v>396</v>
      </c>
      <c r="Z71" s="2" t="n">
        <v>0</v>
      </c>
      <c r="AA71" s="2" t="n">
        <v>0</v>
      </c>
      <c r="AC71" s="0" t="s">
        <v>160</v>
      </c>
      <c r="AM71" s="11"/>
      <c r="AN71" s="11"/>
      <c r="BG71" s="11"/>
    </row>
    <row r="72" customFormat="false" ht="12.75" hidden="false" customHeight="false" outlineLevel="0" collapsed="false">
      <c r="A72" s="0" t="s">
        <v>397</v>
      </c>
      <c r="B72" s="0" t="s">
        <v>98</v>
      </c>
      <c r="C72" s="0" t="s">
        <v>398</v>
      </c>
      <c r="D72" s="0" t="s">
        <v>399</v>
      </c>
      <c r="E72" s="0" t="s">
        <v>400</v>
      </c>
      <c r="F72" s="0" t="s">
        <v>401</v>
      </c>
      <c r="G72" s="10" t="n">
        <v>33971</v>
      </c>
      <c r="H72" s="10"/>
      <c r="I72" s="0" t="s">
        <v>114</v>
      </c>
      <c r="J72" s="0" t="s">
        <v>402</v>
      </c>
      <c r="M72" s="0" t="s">
        <v>403</v>
      </c>
      <c r="O72" s="0" t="s">
        <v>404</v>
      </c>
      <c r="P72" s="0" t="s">
        <v>405</v>
      </c>
      <c r="Z72" s="2" t="n">
        <v>-33.35</v>
      </c>
      <c r="AA72" s="2" t="n">
        <v>26.5</v>
      </c>
      <c r="AC72" s="0" t="s">
        <v>160</v>
      </c>
      <c r="AM72" s="11"/>
      <c r="AN72" s="11"/>
      <c r="BG72" s="1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selection pane="topLeft" activeCell="A2" activeCellId="0" sqref="A2"/>
    </sheetView>
  </sheetViews>
  <sheetFormatPr defaultColWidth="10.66796875" defaultRowHeight="12.75" zeroHeight="false" outlineLevelRow="0" outlineLevelCol="0"/>
  <cols>
    <col collapsed="false" customWidth="true" hidden="false" outlineLevel="0" max="1" min="1" style="0" width="31.5"/>
    <col collapsed="false" customWidth="true" hidden="false" outlineLevel="0" max="2" min="2" style="0" width="22"/>
    <col collapsed="false" customWidth="true" hidden="false" outlineLevel="0" max="3" min="3" style="0" width="80.67"/>
    <col collapsed="false" customWidth="true" hidden="false" outlineLevel="0" max="4" min="4" style="0" width="77.66"/>
  </cols>
  <sheetData>
    <row r="1" customFormat="false" ht="16.5" hidden="false" customHeight="true" outlineLevel="0" collapsed="false">
      <c r="A1" s="15" t="s">
        <v>406</v>
      </c>
      <c r="B1" s="16" t="s">
        <v>407</v>
      </c>
      <c r="C1" s="16" t="s">
        <v>408</v>
      </c>
      <c r="D1" s="17" t="s">
        <v>409</v>
      </c>
    </row>
    <row r="2" customFormat="false" ht="153" hidden="false" customHeight="true" outlineLevel="0" collapsed="false">
      <c r="A2" s="18"/>
      <c r="B2" s="19" t="s">
        <v>0</v>
      </c>
      <c r="C2" s="20" t="s">
        <v>410</v>
      </c>
      <c r="D2" s="20" t="s">
        <v>411</v>
      </c>
    </row>
    <row r="3" customFormat="false" ht="16.5" hidden="false" customHeight="true" outlineLevel="0" collapsed="false">
      <c r="B3" s="21" t="s">
        <v>5</v>
      </c>
      <c r="C3" s="22" t="s">
        <v>412</v>
      </c>
      <c r="D3" s="23" t="s">
        <v>413</v>
      </c>
    </row>
    <row r="4" customFormat="false" ht="67.5" hidden="false" customHeight="true" outlineLevel="0" collapsed="false">
      <c r="B4" s="19" t="s">
        <v>6</v>
      </c>
      <c r="C4" s="20" t="s">
        <v>414</v>
      </c>
      <c r="D4" s="20" t="s">
        <v>413</v>
      </c>
    </row>
    <row r="5" customFormat="false" ht="16.5" hidden="false" customHeight="true" outlineLevel="0" collapsed="false">
      <c r="B5" s="21" t="s">
        <v>7</v>
      </c>
      <c r="C5" s="23" t="s">
        <v>415</v>
      </c>
      <c r="D5" s="23" t="s">
        <v>416</v>
      </c>
    </row>
    <row r="6" customFormat="false" ht="33.75" hidden="false" customHeight="true" outlineLevel="0" collapsed="false">
      <c r="B6" s="19" t="s">
        <v>8</v>
      </c>
      <c r="C6" s="20" t="s">
        <v>417</v>
      </c>
      <c r="D6" s="20" t="s">
        <v>418</v>
      </c>
    </row>
    <row r="7" customFormat="false" ht="51" hidden="false" customHeight="true" outlineLevel="0" collapsed="false">
      <c r="B7" s="21" t="s">
        <v>9</v>
      </c>
      <c r="C7" s="23" t="s">
        <v>419</v>
      </c>
      <c r="D7" s="23" t="s">
        <v>418</v>
      </c>
    </row>
    <row r="8" customFormat="false" ht="84.75" hidden="false" customHeight="true" outlineLevel="0" collapsed="false">
      <c r="B8" s="19" t="s">
        <v>10</v>
      </c>
      <c r="C8" s="20" t="s">
        <v>420</v>
      </c>
      <c r="D8" s="20" t="s">
        <v>418</v>
      </c>
    </row>
    <row r="9" customFormat="false" ht="33.75" hidden="false" customHeight="true" outlineLevel="0" collapsed="false">
      <c r="B9" s="21" t="s">
        <v>11</v>
      </c>
      <c r="C9" s="23" t="s">
        <v>421</v>
      </c>
      <c r="D9" s="23" t="s">
        <v>422</v>
      </c>
    </row>
    <row r="10" customFormat="false" ht="33.75" hidden="false" customHeight="true" outlineLevel="0" collapsed="false">
      <c r="B10" s="19" t="s">
        <v>12</v>
      </c>
      <c r="C10" s="20" t="s">
        <v>423</v>
      </c>
      <c r="D10" s="20" t="s">
        <v>413</v>
      </c>
    </row>
    <row r="11" customFormat="false" ht="33.75" hidden="false" customHeight="true" outlineLevel="0" collapsed="false">
      <c r="B11" s="21" t="s">
        <v>14</v>
      </c>
      <c r="C11" s="23" t="s">
        <v>424</v>
      </c>
      <c r="D11" s="23" t="s">
        <v>422</v>
      </c>
    </row>
    <row r="12" customFormat="false" ht="16.5" hidden="false" customHeight="true" outlineLevel="0" collapsed="false">
      <c r="B12" s="19" t="s">
        <v>13</v>
      </c>
      <c r="C12" s="24" t="s">
        <v>425</v>
      </c>
      <c r="D12" s="20" t="s">
        <v>422</v>
      </c>
    </row>
    <row r="13" customFormat="false" ht="16.5" hidden="false" customHeight="true" outlineLevel="0" collapsed="false">
      <c r="B13" s="21" t="s">
        <v>15</v>
      </c>
      <c r="C13" s="23" t="s">
        <v>426</v>
      </c>
      <c r="D13" s="23" t="s">
        <v>427</v>
      </c>
    </row>
    <row r="14" customFormat="false" ht="102" hidden="false" customHeight="true" outlineLevel="0" collapsed="false">
      <c r="B14" s="19" t="s">
        <v>16</v>
      </c>
      <c r="C14" s="20" t="s">
        <v>428</v>
      </c>
      <c r="D14" s="20" t="s">
        <v>413</v>
      </c>
    </row>
    <row r="15" customFormat="false" ht="33.75" hidden="false" customHeight="true" outlineLevel="0" collapsed="false">
      <c r="B15" s="21" t="s">
        <v>30</v>
      </c>
      <c r="C15" s="23" t="s">
        <v>429</v>
      </c>
      <c r="D15" s="23" t="s">
        <v>430</v>
      </c>
    </row>
    <row r="16" customFormat="false" ht="16.5" hidden="false" customHeight="true" outlineLevel="0" collapsed="false">
      <c r="B16" s="19" t="s">
        <v>25</v>
      </c>
      <c r="C16" s="20" t="s">
        <v>431</v>
      </c>
      <c r="D16" s="20" t="s">
        <v>432</v>
      </c>
    </row>
    <row r="17" customFormat="false" ht="16.5" hidden="false" customHeight="true" outlineLevel="0" collapsed="false">
      <c r="B17" s="21" t="s">
        <v>26</v>
      </c>
      <c r="C17" s="23" t="s">
        <v>431</v>
      </c>
      <c r="D17" s="23" t="s">
        <v>432</v>
      </c>
    </row>
    <row r="18" customFormat="false" ht="67.5" hidden="false" customHeight="true" outlineLevel="0" collapsed="false">
      <c r="B18" s="19" t="s">
        <v>433</v>
      </c>
      <c r="C18" s="20" t="s">
        <v>434</v>
      </c>
      <c r="D18" s="20" t="s">
        <v>435</v>
      </c>
    </row>
    <row r="19" customFormat="false" ht="153" hidden="false" customHeight="true" outlineLevel="0" collapsed="false">
      <c r="B19" s="21" t="s">
        <v>28</v>
      </c>
      <c r="C19" s="23" t="s">
        <v>436</v>
      </c>
      <c r="D19" s="23" t="s">
        <v>437</v>
      </c>
    </row>
    <row r="20" customFormat="false" ht="33.75" hidden="false" customHeight="true" outlineLevel="0" collapsed="false">
      <c r="B20" s="19" t="s">
        <v>29</v>
      </c>
      <c r="C20" s="20" t="s">
        <v>438</v>
      </c>
      <c r="D20" s="20" t="s">
        <v>422</v>
      </c>
    </row>
    <row r="21" customFormat="false" ht="67.5" hidden="false" customHeight="true" outlineLevel="0" collapsed="false">
      <c r="B21" s="25" t="s">
        <v>439</v>
      </c>
      <c r="C21" s="23" t="s">
        <v>440</v>
      </c>
      <c r="D21" s="26" t="s">
        <v>441</v>
      </c>
    </row>
    <row r="22" customFormat="false" ht="33.75" hidden="false" customHeight="true" outlineLevel="0" collapsed="false">
      <c r="B22" s="27" t="s">
        <v>1</v>
      </c>
      <c r="C22" s="20" t="s">
        <v>442</v>
      </c>
      <c r="D22" s="20" t="s">
        <v>443</v>
      </c>
    </row>
    <row r="23" customFormat="false" ht="51" hidden="false" customHeight="true" outlineLevel="0" collapsed="false">
      <c r="B23" s="25" t="s">
        <v>2</v>
      </c>
      <c r="C23" s="23" t="s">
        <v>444</v>
      </c>
      <c r="D23" s="23" t="s">
        <v>413</v>
      </c>
    </row>
    <row r="24" customFormat="false" ht="153" hidden="false" customHeight="true" outlineLevel="0" collapsed="false">
      <c r="B24" s="27" t="s">
        <v>3</v>
      </c>
      <c r="C24" s="28" t="s">
        <v>445</v>
      </c>
      <c r="D24" s="20" t="s">
        <v>413</v>
      </c>
    </row>
    <row r="25" customFormat="false" ht="15.75" hidden="false" customHeight="true" outlineLevel="0" collapsed="false">
      <c r="B25" s="27"/>
      <c r="C25" s="29"/>
      <c r="D25" s="20"/>
    </row>
    <row r="26" customFormat="false" ht="51" hidden="false" customHeight="true" outlineLevel="0" collapsed="false">
      <c r="B26" s="27"/>
      <c r="C26" s="30" t="s">
        <v>446</v>
      </c>
      <c r="D26" s="20"/>
    </row>
    <row r="27" customFormat="false" ht="16.5" hidden="false" customHeight="true" outlineLevel="0" collapsed="false">
      <c r="B27" s="27" t="s">
        <v>447</v>
      </c>
      <c r="C27" s="30" t="s">
        <v>448</v>
      </c>
      <c r="D27" s="20"/>
    </row>
    <row r="28" customFormat="false" ht="102" hidden="false" customHeight="true" outlineLevel="0" collapsed="false">
      <c r="B28" s="25" t="s">
        <v>4</v>
      </c>
      <c r="C28" s="23" t="s">
        <v>449</v>
      </c>
      <c r="D28" s="23" t="s">
        <v>450</v>
      </c>
    </row>
    <row r="29" customFormat="false" ht="33.75" hidden="false" customHeight="true" outlineLevel="0" collapsed="false">
      <c r="B29" s="27" t="s">
        <v>451</v>
      </c>
      <c r="C29" s="20" t="s">
        <v>452</v>
      </c>
      <c r="D29" s="20" t="s">
        <v>453</v>
      </c>
    </row>
    <row r="30" customFormat="false" ht="67.5" hidden="false" customHeight="true" outlineLevel="0" collapsed="false">
      <c r="B30" s="25" t="s">
        <v>454</v>
      </c>
      <c r="C30" s="23" t="s">
        <v>455</v>
      </c>
      <c r="D30" s="23" t="s">
        <v>422</v>
      </c>
    </row>
    <row r="31" customFormat="false" ht="16.5" hidden="false" customHeight="true" outlineLevel="0" collapsed="false">
      <c r="B31" s="27" t="s">
        <v>456</v>
      </c>
      <c r="C31" s="20" t="s">
        <v>457</v>
      </c>
      <c r="D31" s="20"/>
    </row>
    <row r="32" customFormat="false" ht="67.5" hidden="false" customHeight="true" outlineLevel="0" collapsed="false">
      <c r="B32" s="25" t="s">
        <v>458</v>
      </c>
      <c r="C32" s="23" t="s">
        <v>459</v>
      </c>
      <c r="D32" s="23" t="s">
        <v>413</v>
      </c>
    </row>
    <row r="33" customFormat="false" ht="16.5" hidden="false" customHeight="true" outlineLevel="0" collapsed="false">
      <c r="B33" s="27" t="s">
        <v>460</v>
      </c>
      <c r="C33" s="20" t="s">
        <v>461</v>
      </c>
      <c r="D33" s="20" t="s">
        <v>462</v>
      </c>
    </row>
    <row r="34" customFormat="false" ht="33.75" hidden="false" customHeight="true" outlineLevel="0" collapsed="false">
      <c r="B34" s="25" t="s">
        <v>463</v>
      </c>
      <c r="C34" s="23" t="s">
        <v>464</v>
      </c>
      <c r="D34" s="23" t="s">
        <v>465</v>
      </c>
    </row>
    <row r="35" customFormat="false" ht="33.75" hidden="false" customHeight="true" outlineLevel="0" collapsed="false">
      <c r="B35" s="27" t="s">
        <v>466</v>
      </c>
      <c r="C35" s="20" t="s">
        <v>467</v>
      </c>
      <c r="D35" s="20" t="s">
        <v>468</v>
      </c>
    </row>
    <row r="36" customFormat="false" ht="16.5" hidden="false" customHeight="true" outlineLevel="0" collapsed="false">
      <c r="B36" s="25" t="s">
        <v>469</v>
      </c>
      <c r="C36" s="23" t="s">
        <v>470</v>
      </c>
      <c r="D36" s="23" t="s">
        <v>422</v>
      </c>
    </row>
    <row r="37" customFormat="false" ht="16.5" hidden="false" customHeight="true" outlineLevel="0" collapsed="false">
      <c r="B37" s="25" t="s">
        <v>471</v>
      </c>
      <c r="C37" s="23" t="s">
        <v>472</v>
      </c>
      <c r="D37" s="23" t="s">
        <v>473</v>
      </c>
    </row>
  </sheetData>
  <mergeCells count="2">
    <mergeCell ref="B24:B26"/>
    <mergeCell ref="D24:D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R72"/>
  <sheetViews>
    <sheetView showFormulas="false" showGridLines="true" showRowColHeaders="true" showZeros="true" rightToLeft="false" tabSelected="true" showOutlineSymbols="true" defaultGridColor="true" view="normal" topLeftCell="C1" colorId="64" zoomScale="107" zoomScaleNormal="107" zoomScalePageLayoutView="100" workbookViewId="0">
      <selection pane="topLeft" activeCell="G60" activeCellId="0" sqref="G60"/>
    </sheetView>
  </sheetViews>
  <sheetFormatPr defaultColWidth="48.00390625" defaultRowHeight="12.75" zeroHeight="false" outlineLevelRow="0" outlineLevelCol="0"/>
  <cols>
    <col collapsed="false" customWidth="true" hidden="false" outlineLevel="0" max="2" min="1" style="0" width="22.5"/>
    <col collapsed="false" customWidth="true" hidden="false" outlineLevel="0" max="3" min="3" style="0" width="18.16"/>
    <col collapsed="false" customWidth="true" hidden="false" outlineLevel="0" max="4" min="4" style="0" width="15.66"/>
    <col collapsed="false" customWidth="true" hidden="false" outlineLevel="0" max="6" min="5" style="0" width="16.33"/>
    <col collapsed="false" customWidth="true" hidden="false" outlineLevel="0" max="7" min="7" style="0" width="18.16"/>
    <col collapsed="false" customWidth="true" hidden="false" outlineLevel="0" max="8" min="8" style="0" width="10.66"/>
    <col collapsed="false" customWidth="true" hidden="false" outlineLevel="0" max="9" min="9" style="31" width="14.67"/>
    <col collapsed="false" customWidth="true" hidden="false" outlineLevel="0" max="10" min="10" style="0" width="25.67"/>
    <col collapsed="false" customWidth="true" hidden="false" outlineLevel="0" max="11" min="11" style="0" width="11.16"/>
    <col collapsed="false" customWidth="true" hidden="false" outlineLevel="0" max="12" min="12" style="0" width="28"/>
    <col collapsed="false" customWidth="true" hidden="false" outlineLevel="0" max="13" min="13" style="0" width="11.5"/>
    <col collapsed="false" customWidth="true" hidden="false" outlineLevel="0" max="14" min="14" style="0" width="15.66"/>
    <col collapsed="false" customWidth="true" hidden="false" outlineLevel="0" max="15" min="15" style="1" width="15.33"/>
    <col collapsed="false" customWidth="true" hidden="false" outlineLevel="0" max="16" min="16" style="0" width="24.33"/>
    <col collapsed="false" customWidth="true" hidden="false" outlineLevel="0" max="17" min="17" style="1" width="18.34"/>
    <col collapsed="false" customWidth="true" hidden="false" outlineLevel="0" max="18" min="18" style="1" width="18.5"/>
    <col collapsed="false" customWidth="true" hidden="false" outlineLevel="0" max="19" min="19" style="0" width="20"/>
    <col collapsed="false" customWidth="true" hidden="false" outlineLevel="0" max="20" min="20" style="0" width="30.16"/>
    <col collapsed="false" customWidth="true" hidden="false" outlineLevel="0" max="21" min="21" style="0" width="22.67"/>
    <col collapsed="false" customWidth="true" hidden="false" outlineLevel="0" max="22" min="22" style="0" width="17.16"/>
    <col collapsed="false" customWidth="true" hidden="false" outlineLevel="0" max="23" min="23" style="0" width="61.16"/>
    <col collapsed="false" customWidth="true" hidden="false" outlineLevel="0" max="24" min="24" style="0" width="10.33"/>
    <col collapsed="false" customWidth="true" hidden="false" outlineLevel="0" max="25" min="25" style="0" width="12"/>
    <col collapsed="false" customWidth="true" hidden="false" outlineLevel="0" max="26" min="26" style="0" width="11.33"/>
    <col collapsed="false" customWidth="true" hidden="false" outlineLevel="0" max="27" min="27" style="0" width="8.67"/>
    <col collapsed="false" customWidth="true" hidden="false" outlineLevel="0" max="28" min="28" style="0" width="7.33"/>
    <col collapsed="false" customWidth="true" hidden="false" outlineLevel="0" max="29" min="29" style="0" width="7"/>
    <col collapsed="false" customWidth="true" hidden="false" outlineLevel="0" max="30" min="30" style="0" width="7.33"/>
    <col collapsed="false" customWidth="true" hidden="false" outlineLevel="0" max="31" min="31" style="0" width="3.5"/>
    <col collapsed="false" customWidth="true" hidden="false" outlineLevel="0" max="32" min="32" style="0" width="8"/>
    <col collapsed="false" customWidth="true" hidden="false" outlineLevel="0" max="33" min="33" style="0" width="7.5"/>
    <col collapsed="false" customWidth="true" hidden="false" outlineLevel="0" max="34" min="34" style="0" width="7.67"/>
    <col collapsed="false" customWidth="true" hidden="false" outlineLevel="0" max="35" min="35" style="0" width="4.16"/>
    <col collapsed="false" customWidth="true" hidden="false" outlineLevel="0" max="36" min="36" style="2" width="12"/>
    <col collapsed="false" customWidth="true" hidden="false" outlineLevel="0" max="37" min="37" style="2" width="15.16"/>
    <col collapsed="false" customWidth="true" hidden="false" outlineLevel="0" max="38" min="38" style="0" width="14.16"/>
    <col collapsed="false" customWidth="true" hidden="false" outlineLevel="0" max="39" min="39" style="0" width="18.67"/>
    <col collapsed="false" customWidth="true" hidden="false" outlineLevel="0" max="40" min="40" style="0" width="43.16"/>
    <col collapsed="false" customWidth="true" hidden="false" outlineLevel="0" max="41" min="41" style="0" width="19.16"/>
  </cols>
  <sheetData>
    <row r="1" s="4" customFormat="true" ht="12.75" hidden="false" customHeight="false" outlineLevel="0" collapsed="false">
      <c r="A1" s="3" t="s">
        <v>439</v>
      </c>
      <c r="B1" s="3" t="s">
        <v>0</v>
      </c>
      <c r="C1" s="4" t="s">
        <v>1</v>
      </c>
      <c r="D1" s="4" t="s">
        <v>2</v>
      </c>
      <c r="E1" s="3" t="s">
        <v>3</v>
      </c>
      <c r="F1" s="3" t="s">
        <v>474</v>
      </c>
      <c r="G1" s="3" t="s">
        <v>4</v>
      </c>
      <c r="H1" s="3" t="s">
        <v>451</v>
      </c>
      <c r="I1" s="32" t="s">
        <v>454</v>
      </c>
      <c r="J1" s="33" t="s">
        <v>456</v>
      </c>
      <c r="K1" s="3" t="s">
        <v>458</v>
      </c>
      <c r="L1" s="7" t="s">
        <v>460</v>
      </c>
      <c r="M1" s="33" t="s">
        <v>463</v>
      </c>
      <c r="N1" s="7" t="s">
        <v>466</v>
      </c>
      <c r="O1" s="6" t="s">
        <v>469</v>
      </c>
      <c r="P1" s="3" t="s">
        <v>5</v>
      </c>
      <c r="Q1" s="5" t="s">
        <v>6</v>
      </c>
      <c r="R1" s="6" t="s">
        <v>7</v>
      </c>
      <c r="S1" s="7" t="s">
        <v>8</v>
      </c>
      <c r="T1" s="7" t="s">
        <v>9</v>
      </c>
      <c r="U1" s="7" t="s">
        <v>10</v>
      </c>
      <c r="V1" s="7" t="s">
        <v>11</v>
      </c>
      <c r="W1" s="3" t="s">
        <v>12</v>
      </c>
      <c r="X1" s="7" t="s">
        <v>13</v>
      </c>
      <c r="Y1" s="7" t="s">
        <v>14</v>
      </c>
      <c r="Z1" s="3" t="s">
        <v>15</v>
      </c>
      <c r="AA1" s="3" t="s">
        <v>16</v>
      </c>
      <c r="AB1" s="8" t="s">
        <v>17</v>
      </c>
      <c r="AC1" s="8" t="s">
        <v>18</v>
      </c>
      <c r="AD1" s="8" t="s">
        <v>19</v>
      </c>
      <c r="AE1" s="8" t="s">
        <v>20</v>
      </c>
      <c r="AF1" s="8" t="s">
        <v>21</v>
      </c>
      <c r="AG1" s="8" t="s">
        <v>22</v>
      </c>
      <c r="AH1" s="8" t="s">
        <v>23</v>
      </c>
      <c r="AI1" s="8" t="s">
        <v>24</v>
      </c>
      <c r="AJ1" s="9" t="s">
        <v>25</v>
      </c>
      <c r="AK1" s="9" t="s">
        <v>26</v>
      </c>
      <c r="AL1" s="7" t="s">
        <v>27</v>
      </c>
      <c r="AM1" s="7" t="s">
        <v>28</v>
      </c>
      <c r="AN1" s="7" t="s">
        <v>29</v>
      </c>
      <c r="AO1" s="7" t="s">
        <v>30</v>
      </c>
      <c r="AP1" s="7" t="s">
        <v>471</v>
      </c>
    </row>
    <row r="2" customFormat="false" ht="12.75" hidden="false" customHeight="false" outlineLevel="0" collapsed="false">
      <c r="A2" s="0" t="s">
        <v>475</v>
      </c>
      <c r="B2" s="0" t="s">
        <v>31</v>
      </c>
      <c r="C2" s="0" t="s">
        <v>32</v>
      </c>
      <c r="D2" s="0" t="s">
        <v>33</v>
      </c>
      <c r="E2" s="0" t="s">
        <v>34</v>
      </c>
      <c r="G2" s="0" t="s">
        <v>35</v>
      </c>
      <c r="H2" s="0" t="s">
        <v>476</v>
      </c>
      <c r="K2" s="0" t="s">
        <v>477</v>
      </c>
      <c r="L2" s="0" t="s">
        <v>478</v>
      </c>
      <c r="N2" s="0" t="s">
        <v>72</v>
      </c>
      <c r="O2" s="10" t="n">
        <v>36840</v>
      </c>
      <c r="P2" s="0" t="s">
        <v>36</v>
      </c>
      <c r="Q2" s="10" t="n">
        <v>37135</v>
      </c>
      <c r="R2" s="10"/>
      <c r="S2" s="0" t="s">
        <v>37</v>
      </c>
      <c r="T2" s="0" t="s">
        <v>38</v>
      </c>
      <c r="W2" s="0" t="s">
        <v>39</v>
      </c>
      <c r="X2" s="0" t="s">
        <v>40</v>
      </c>
      <c r="Y2" s="0" t="s">
        <v>41</v>
      </c>
      <c r="Z2" s="0" t="s">
        <v>42</v>
      </c>
      <c r="AA2" s="0" t="s">
        <v>43</v>
      </c>
      <c r="AJ2" s="2" t="n">
        <v>35.66667</v>
      </c>
      <c r="AK2" s="2" t="n">
        <v>-118.33333</v>
      </c>
      <c r="AM2" s="0" t="s">
        <v>44</v>
      </c>
      <c r="AP2" s="34"/>
      <c r="AW2" s="11"/>
      <c r="AX2" s="11"/>
      <c r="BQ2" s="11"/>
      <c r="BR2" s="11"/>
    </row>
    <row r="3" customFormat="false" ht="12.75" hidden="false" customHeight="false" outlineLevel="0" collapsed="false">
      <c r="A3" s="0" t="s">
        <v>479</v>
      </c>
      <c r="B3" s="0" t="s">
        <v>45</v>
      </c>
      <c r="C3" s="0" t="s">
        <v>46</v>
      </c>
      <c r="D3" s="0" t="s">
        <v>47</v>
      </c>
      <c r="E3" s="0" t="s">
        <v>48</v>
      </c>
      <c r="G3" s="0" t="s">
        <v>49</v>
      </c>
      <c r="H3" s="0" t="s">
        <v>476</v>
      </c>
      <c r="K3" s="0" t="s">
        <v>477</v>
      </c>
      <c r="L3" s="0" t="s">
        <v>478</v>
      </c>
      <c r="O3" s="10" t="n">
        <v>36840</v>
      </c>
      <c r="P3" s="0" t="s">
        <v>50</v>
      </c>
      <c r="Q3" s="10" t="n">
        <v>32970</v>
      </c>
      <c r="R3" s="10"/>
      <c r="W3" s="0" t="s">
        <v>51</v>
      </c>
      <c r="X3" s="0" t="s">
        <v>52</v>
      </c>
      <c r="Y3" s="0" t="s">
        <v>41</v>
      </c>
      <c r="Z3" s="0" t="s">
        <v>42</v>
      </c>
      <c r="AJ3" s="2" t="n">
        <v>0</v>
      </c>
      <c r="AK3" s="2" t="n">
        <v>0</v>
      </c>
      <c r="AM3" s="0" t="s">
        <v>44</v>
      </c>
      <c r="AP3" s="34"/>
      <c r="AW3" s="11"/>
      <c r="AX3" s="11"/>
      <c r="BQ3" s="11"/>
      <c r="BR3" s="11"/>
    </row>
    <row r="4" customFormat="false" ht="12.75" hidden="false" customHeight="false" outlineLevel="0" collapsed="false">
      <c r="A4" s="0" t="s">
        <v>480</v>
      </c>
      <c r="B4" s="0" t="s">
        <v>45</v>
      </c>
      <c r="C4" s="0" t="s">
        <v>46</v>
      </c>
      <c r="D4" s="0" t="s">
        <v>47</v>
      </c>
      <c r="E4" s="0" t="s">
        <v>48</v>
      </c>
      <c r="G4" s="0" t="s">
        <v>53</v>
      </c>
      <c r="H4" s="0" t="s">
        <v>476</v>
      </c>
      <c r="K4" s="0" t="s">
        <v>477</v>
      </c>
      <c r="L4" s="0" t="s">
        <v>478</v>
      </c>
      <c r="O4" s="10" t="n">
        <v>36840</v>
      </c>
      <c r="P4" s="0" t="s">
        <v>50</v>
      </c>
      <c r="Q4" s="10" t="n">
        <v>32970</v>
      </c>
      <c r="R4" s="10"/>
      <c r="W4" s="0" t="s">
        <v>51</v>
      </c>
      <c r="X4" s="0" t="s">
        <v>52</v>
      </c>
      <c r="Y4" s="0" t="s">
        <v>41</v>
      </c>
      <c r="Z4" s="0" t="s">
        <v>42</v>
      </c>
      <c r="AJ4" s="2" t="n">
        <v>0</v>
      </c>
      <c r="AK4" s="2" t="n">
        <v>0</v>
      </c>
      <c r="AM4" s="0" t="s">
        <v>44</v>
      </c>
      <c r="AP4" s="34"/>
      <c r="AW4" s="11"/>
      <c r="AX4" s="11"/>
      <c r="BQ4" s="11"/>
      <c r="BR4" s="11"/>
    </row>
    <row r="5" customFormat="false" ht="12.75" hidden="false" customHeight="false" outlineLevel="0" collapsed="false">
      <c r="A5" s="0" t="s">
        <v>481</v>
      </c>
      <c r="B5" s="0" t="s">
        <v>54</v>
      </c>
      <c r="C5" s="0" t="s">
        <v>55</v>
      </c>
      <c r="D5" s="0" t="s">
        <v>56</v>
      </c>
      <c r="E5" s="0" t="s">
        <v>57</v>
      </c>
      <c r="G5" s="0" t="s">
        <v>58</v>
      </c>
      <c r="H5" s="0" t="s">
        <v>476</v>
      </c>
      <c r="K5" s="0" t="s">
        <v>482</v>
      </c>
      <c r="L5" s="0" t="s">
        <v>483</v>
      </c>
      <c r="O5" s="10"/>
      <c r="P5" s="0" t="s">
        <v>59</v>
      </c>
      <c r="Q5" s="10" t="n">
        <v>27060</v>
      </c>
      <c r="R5" s="10"/>
      <c r="W5" s="0" t="s">
        <v>60</v>
      </c>
      <c r="Y5" s="0" t="s">
        <v>61</v>
      </c>
      <c r="Z5" s="0" t="s">
        <v>62</v>
      </c>
      <c r="AJ5" s="2" t="n">
        <v>-22.6667</v>
      </c>
      <c r="AK5" s="2" t="n">
        <v>-50.4167</v>
      </c>
      <c r="AM5" s="0" t="s">
        <v>63</v>
      </c>
      <c r="AP5" s="34"/>
      <c r="AW5" s="11"/>
      <c r="AX5" s="11"/>
      <c r="BQ5" s="11"/>
      <c r="BR5" s="11"/>
    </row>
    <row r="6" customFormat="false" ht="12.75" hidden="false" customHeight="false" outlineLevel="0" collapsed="false">
      <c r="A6" s="0" t="s">
        <v>484</v>
      </c>
      <c r="B6" s="0" t="s">
        <v>64</v>
      </c>
      <c r="C6" s="0" t="s">
        <v>55</v>
      </c>
      <c r="D6" s="0" t="s">
        <v>56</v>
      </c>
      <c r="E6" s="0" t="s">
        <v>65</v>
      </c>
      <c r="G6" s="0" t="s">
        <v>66</v>
      </c>
      <c r="H6" s="0" t="s">
        <v>476</v>
      </c>
      <c r="K6" s="0" t="s">
        <v>482</v>
      </c>
      <c r="L6" s="0" t="s">
        <v>483</v>
      </c>
      <c r="O6" s="10"/>
      <c r="P6" s="0" t="s">
        <v>59</v>
      </c>
      <c r="Q6" s="10" t="n">
        <v>25465</v>
      </c>
      <c r="R6" s="10"/>
      <c r="W6" s="0" t="s">
        <v>67</v>
      </c>
      <c r="Y6" s="0" t="s">
        <v>68</v>
      </c>
      <c r="Z6" s="0" t="s">
        <v>62</v>
      </c>
      <c r="AJ6" s="2" t="n">
        <v>-22.5167</v>
      </c>
      <c r="AK6" s="2" t="n">
        <v>-43.1667</v>
      </c>
      <c r="AM6" s="0" t="s">
        <v>63</v>
      </c>
      <c r="AP6" s="34"/>
      <c r="AW6" s="11"/>
      <c r="AX6" s="11"/>
      <c r="BQ6" s="11"/>
      <c r="BR6" s="11"/>
    </row>
    <row r="7" customFormat="false" ht="12.75" hidden="false" customHeight="false" outlineLevel="0" collapsed="false">
      <c r="A7" s="0" t="s">
        <v>485</v>
      </c>
      <c r="B7" s="0" t="s">
        <v>69</v>
      </c>
      <c r="C7" s="0" t="s">
        <v>46</v>
      </c>
      <c r="D7" s="0" t="s">
        <v>47</v>
      </c>
      <c r="E7" s="0" t="s">
        <v>70</v>
      </c>
      <c r="G7" s="0" t="s">
        <v>71</v>
      </c>
      <c r="H7" s="0" t="s">
        <v>476</v>
      </c>
      <c r="K7" s="0" t="s">
        <v>486</v>
      </c>
      <c r="L7" s="0" t="s">
        <v>487</v>
      </c>
      <c r="O7" s="10" t="n">
        <v>38055</v>
      </c>
      <c r="P7" s="0" t="s">
        <v>72</v>
      </c>
      <c r="Q7" s="10" t="n">
        <v>38339</v>
      </c>
      <c r="R7" s="10"/>
      <c r="T7" s="0" t="s">
        <v>73</v>
      </c>
      <c r="U7" s="0" t="s">
        <v>74</v>
      </c>
      <c r="W7" s="0" t="s">
        <v>75</v>
      </c>
      <c r="Y7" s="0" t="s">
        <v>76</v>
      </c>
      <c r="Z7" s="0" t="s">
        <v>77</v>
      </c>
      <c r="AA7" s="0" t="s">
        <v>78</v>
      </c>
      <c r="AJ7" s="2" t="n">
        <v>-18.85083</v>
      </c>
      <c r="AK7" s="2" t="n">
        <v>48.32</v>
      </c>
      <c r="AM7" s="0" t="s">
        <v>79</v>
      </c>
      <c r="AP7" s="34"/>
      <c r="AW7" s="11"/>
      <c r="AX7" s="11"/>
      <c r="BR7" s="11"/>
    </row>
    <row r="8" customFormat="false" ht="12.75" hidden="false" customHeight="false" outlineLevel="0" collapsed="false">
      <c r="A8" s="0" t="s">
        <v>488</v>
      </c>
      <c r="B8" s="0" t="s">
        <v>80</v>
      </c>
      <c r="C8" s="0" t="s">
        <v>46</v>
      </c>
      <c r="D8" s="0" t="s">
        <v>81</v>
      </c>
      <c r="E8" s="0" t="s">
        <v>82</v>
      </c>
      <c r="G8" s="0" t="s">
        <v>58</v>
      </c>
      <c r="H8" s="0" t="s">
        <v>476</v>
      </c>
      <c r="K8" s="0" t="s">
        <v>486</v>
      </c>
      <c r="L8" s="0" t="s">
        <v>487</v>
      </c>
      <c r="O8" s="34" t="s">
        <v>489</v>
      </c>
      <c r="P8" s="0" t="s">
        <v>83</v>
      </c>
      <c r="Q8" s="10" t="n">
        <v>37657</v>
      </c>
      <c r="R8" s="10" t="n">
        <v>37667</v>
      </c>
      <c r="S8" s="0" t="s">
        <v>84</v>
      </c>
      <c r="T8" s="0" t="s">
        <v>85</v>
      </c>
      <c r="W8" s="0" t="s">
        <v>86</v>
      </c>
      <c r="Y8" s="0" t="s">
        <v>87</v>
      </c>
      <c r="Z8" s="0" t="s">
        <v>77</v>
      </c>
      <c r="AA8" s="0" t="s">
        <v>88</v>
      </c>
      <c r="AJ8" s="2" t="n">
        <v>-24.93683</v>
      </c>
      <c r="AK8" s="2" t="n">
        <v>46.62667</v>
      </c>
      <c r="AM8" s="0" t="s">
        <v>79</v>
      </c>
      <c r="AP8" s="34"/>
      <c r="AW8" s="11"/>
      <c r="AX8" s="11"/>
      <c r="BQ8" s="11"/>
      <c r="BR8" s="11"/>
    </row>
    <row r="9" customFormat="false" ht="12.75" hidden="false" customHeight="false" outlineLevel="0" collapsed="false">
      <c r="A9" s="0" t="s">
        <v>490</v>
      </c>
      <c r="B9" s="0" t="s">
        <v>89</v>
      </c>
      <c r="C9" s="0" t="s">
        <v>46</v>
      </c>
      <c r="D9" s="0" t="s">
        <v>81</v>
      </c>
      <c r="E9" s="0" t="s">
        <v>82</v>
      </c>
      <c r="G9" s="0" t="s">
        <v>58</v>
      </c>
      <c r="H9" s="0" t="s">
        <v>476</v>
      </c>
      <c r="K9" s="0" t="s">
        <v>486</v>
      </c>
      <c r="L9" s="0" t="s">
        <v>487</v>
      </c>
      <c r="N9" s="0" t="s">
        <v>491</v>
      </c>
      <c r="O9" s="10" t="n">
        <v>39478</v>
      </c>
      <c r="P9" s="0" t="s">
        <v>83</v>
      </c>
      <c r="Q9" s="10" t="n">
        <v>37647</v>
      </c>
      <c r="R9" s="10" t="n">
        <v>37657</v>
      </c>
      <c r="S9" s="0" t="s">
        <v>84</v>
      </c>
      <c r="T9" s="0" t="s">
        <v>85</v>
      </c>
      <c r="W9" s="0" t="s">
        <v>86</v>
      </c>
      <c r="Y9" s="0" t="s">
        <v>87</v>
      </c>
      <c r="Z9" s="0" t="s">
        <v>77</v>
      </c>
      <c r="AA9" s="0" t="s">
        <v>88</v>
      </c>
      <c r="AJ9" s="2" t="n">
        <v>-24.93683</v>
      </c>
      <c r="AK9" s="2" t="n">
        <v>46.62667</v>
      </c>
      <c r="AM9" s="0" t="s">
        <v>79</v>
      </c>
      <c r="AP9" s="34"/>
    </row>
    <row r="10" customFormat="false" ht="12.75" hidden="false" customHeight="false" outlineLevel="0" collapsed="false">
      <c r="A10" s="0" t="s">
        <v>492</v>
      </c>
      <c r="B10" s="0" t="s">
        <v>89</v>
      </c>
      <c r="C10" s="0" t="s">
        <v>46</v>
      </c>
      <c r="D10" s="0" t="s">
        <v>81</v>
      </c>
      <c r="E10" s="0" t="s">
        <v>82</v>
      </c>
      <c r="G10" s="0" t="s">
        <v>90</v>
      </c>
      <c r="H10" s="0" t="s">
        <v>493</v>
      </c>
      <c r="J10" s="0" t="s">
        <v>494</v>
      </c>
      <c r="K10" s="0" t="s">
        <v>486</v>
      </c>
      <c r="L10" s="0" t="s">
        <v>487</v>
      </c>
      <c r="N10" s="0" t="s">
        <v>491</v>
      </c>
      <c r="O10" s="10" t="n">
        <v>39478</v>
      </c>
      <c r="P10" s="0" t="s">
        <v>83</v>
      </c>
      <c r="Q10" s="10" t="n">
        <v>37647</v>
      </c>
      <c r="R10" s="10" t="n">
        <v>37657</v>
      </c>
      <c r="S10" s="0" t="s">
        <v>84</v>
      </c>
      <c r="T10" s="0" t="s">
        <v>85</v>
      </c>
      <c r="W10" s="0" t="s">
        <v>86</v>
      </c>
      <c r="Y10" s="0" t="s">
        <v>87</v>
      </c>
      <c r="Z10" s="0" t="s">
        <v>77</v>
      </c>
      <c r="AA10" s="0" t="s">
        <v>88</v>
      </c>
      <c r="AJ10" s="2" t="n">
        <v>-24.93683</v>
      </c>
      <c r="AK10" s="2" t="n">
        <v>46.62667</v>
      </c>
      <c r="AM10" s="0" t="s">
        <v>79</v>
      </c>
      <c r="AP10" s="34"/>
      <c r="AW10" s="11"/>
      <c r="AX10" s="11"/>
      <c r="BQ10" s="11"/>
      <c r="BR10" s="11"/>
    </row>
    <row r="11" customFormat="false" ht="12.75" hidden="false" customHeight="false" outlineLevel="0" collapsed="false">
      <c r="A11" s="0" t="s">
        <v>495</v>
      </c>
      <c r="B11" s="0" t="s">
        <v>89</v>
      </c>
      <c r="C11" s="0" t="s">
        <v>32</v>
      </c>
      <c r="D11" s="0" t="s">
        <v>91</v>
      </c>
      <c r="E11" s="0" t="s">
        <v>92</v>
      </c>
      <c r="G11" s="0" t="s">
        <v>93</v>
      </c>
      <c r="H11" s="0" t="s">
        <v>476</v>
      </c>
      <c r="K11" s="0" t="s">
        <v>486</v>
      </c>
      <c r="L11" s="0" t="s">
        <v>487</v>
      </c>
      <c r="O11" s="10" t="n">
        <v>40024</v>
      </c>
      <c r="P11" s="0" t="s">
        <v>83</v>
      </c>
      <c r="Q11" s="10" t="n">
        <v>37647</v>
      </c>
      <c r="R11" s="10" t="n">
        <v>37657</v>
      </c>
      <c r="S11" s="0" t="s">
        <v>84</v>
      </c>
      <c r="T11" s="0" t="s">
        <v>85</v>
      </c>
      <c r="W11" s="0" t="s">
        <v>86</v>
      </c>
      <c r="Y11" s="0" t="s">
        <v>87</v>
      </c>
      <c r="Z11" s="0" t="s">
        <v>77</v>
      </c>
      <c r="AA11" s="0" t="s">
        <v>88</v>
      </c>
      <c r="AJ11" s="2" t="n">
        <v>-24.93683</v>
      </c>
      <c r="AK11" s="2" t="n">
        <v>46.62667</v>
      </c>
      <c r="AM11" s="0" t="s">
        <v>79</v>
      </c>
      <c r="AP11" s="34"/>
      <c r="AW11" s="11"/>
      <c r="AX11" s="11"/>
      <c r="BQ11" s="11"/>
      <c r="BR11" s="11"/>
    </row>
    <row r="12" customFormat="false" ht="12.75" hidden="false" customHeight="false" outlineLevel="0" collapsed="false">
      <c r="A12" s="0" t="s">
        <v>496</v>
      </c>
      <c r="B12" s="0" t="s">
        <v>80</v>
      </c>
      <c r="C12" s="0" t="s">
        <v>94</v>
      </c>
      <c r="D12" s="0" t="s">
        <v>95</v>
      </c>
      <c r="E12" s="0" t="s">
        <v>96</v>
      </c>
      <c r="G12" s="0" t="s">
        <v>97</v>
      </c>
      <c r="H12" s="0" t="s">
        <v>476</v>
      </c>
      <c r="K12" s="0" t="s">
        <v>486</v>
      </c>
      <c r="L12" s="0" t="s">
        <v>487</v>
      </c>
      <c r="N12" s="0" t="s">
        <v>497</v>
      </c>
      <c r="O12" s="34" t="s">
        <v>498</v>
      </c>
      <c r="P12" s="0" t="s">
        <v>83</v>
      </c>
      <c r="Q12" s="10" t="n">
        <v>37657</v>
      </c>
      <c r="R12" s="10" t="n">
        <v>37667</v>
      </c>
      <c r="S12" s="0" t="s">
        <v>84</v>
      </c>
      <c r="T12" s="0" t="s">
        <v>85</v>
      </c>
      <c r="W12" s="0" t="s">
        <v>86</v>
      </c>
      <c r="Y12" s="0" t="s">
        <v>87</v>
      </c>
      <c r="Z12" s="0" t="s">
        <v>77</v>
      </c>
      <c r="AA12" s="0" t="s">
        <v>88</v>
      </c>
      <c r="AJ12" s="2" t="n">
        <v>-24.93683</v>
      </c>
      <c r="AK12" s="2" t="n">
        <v>46.62667</v>
      </c>
      <c r="AM12" s="0" t="s">
        <v>79</v>
      </c>
      <c r="AP12" s="34"/>
      <c r="AW12" s="11"/>
      <c r="AX12" s="11"/>
      <c r="BQ12" s="11"/>
      <c r="BR12" s="11"/>
    </row>
    <row r="13" customFormat="false" ht="12.75" hidden="false" customHeight="false" outlineLevel="0" collapsed="false">
      <c r="A13" s="0" t="s">
        <v>499</v>
      </c>
      <c r="B13" s="0" t="s">
        <v>69</v>
      </c>
      <c r="C13" s="0" t="s">
        <v>98</v>
      </c>
      <c r="D13" s="0" t="s">
        <v>99</v>
      </c>
      <c r="E13" s="0" t="s">
        <v>100</v>
      </c>
      <c r="G13" s="0" t="s">
        <v>101</v>
      </c>
      <c r="H13" s="0" t="s">
        <v>476</v>
      </c>
      <c r="K13" s="0" t="s">
        <v>486</v>
      </c>
      <c r="L13" s="0" t="s">
        <v>487</v>
      </c>
      <c r="O13" s="10"/>
      <c r="P13" s="0" t="s">
        <v>72</v>
      </c>
      <c r="Q13" s="10" t="n">
        <v>38339</v>
      </c>
      <c r="R13" s="10"/>
      <c r="T13" s="0" t="s">
        <v>73</v>
      </c>
      <c r="U13" s="0" t="s">
        <v>74</v>
      </c>
      <c r="W13" s="0" t="s">
        <v>75</v>
      </c>
      <c r="Y13" s="0" t="s">
        <v>76</v>
      </c>
      <c r="Z13" s="0" t="s">
        <v>77</v>
      </c>
      <c r="AA13" s="0" t="s">
        <v>78</v>
      </c>
      <c r="AJ13" s="2" t="n">
        <v>-18.85083</v>
      </c>
      <c r="AK13" s="2" t="n">
        <v>48.32</v>
      </c>
      <c r="AM13" s="0" t="s">
        <v>79</v>
      </c>
      <c r="AP13" s="34"/>
      <c r="AW13" s="11"/>
      <c r="AX13" s="11"/>
      <c r="BQ13" s="11"/>
      <c r="BR13" s="11"/>
    </row>
    <row r="14" customFormat="false" ht="12.75" hidden="false" customHeight="false" outlineLevel="0" collapsed="false">
      <c r="A14" s="0" t="s">
        <v>500</v>
      </c>
      <c r="B14" s="0" t="s">
        <v>102</v>
      </c>
      <c r="C14" s="0" t="s">
        <v>46</v>
      </c>
      <c r="D14" s="0" t="s">
        <v>103</v>
      </c>
      <c r="E14" s="0" t="s">
        <v>104</v>
      </c>
      <c r="G14" s="0" t="s">
        <v>58</v>
      </c>
      <c r="H14" s="0" t="s">
        <v>476</v>
      </c>
      <c r="K14" s="0" t="s">
        <v>486</v>
      </c>
      <c r="L14" s="0" t="s">
        <v>487</v>
      </c>
      <c r="O14" s="34" t="s">
        <v>501</v>
      </c>
      <c r="P14" s="0" t="s">
        <v>105</v>
      </c>
      <c r="Q14" s="10" t="n">
        <v>39059</v>
      </c>
      <c r="R14" s="10"/>
      <c r="T14" s="0" t="s">
        <v>106</v>
      </c>
      <c r="U14" s="0" t="s">
        <v>107</v>
      </c>
      <c r="W14" s="0" t="s">
        <v>108</v>
      </c>
      <c r="Y14" s="0" t="s">
        <v>109</v>
      </c>
      <c r="Z14" s="0" t="s">
        <v>77</v>
      </c>
      <c r="AA14" s="0" t="s">
        <v>110</v>
      </c>
      <c r="AJ14" s="2" t="n">
        <v>-24.239</v>
      </c>
      <c r="AK14" s="2" t="n">
        <v>46.28233</v>
      </c>
      <c r="AM14" s="0" t="s">
        <v>79</v>
      </c>
      <c r="AP14" s="34"/>
      <c r="AW14" s="11"/>
      <c r="AX14" s="11"/>
      <c r="BQ14" s="11"/>
      <c r="BR14" s="11"/>
    </row>
    <row r="15" customFormat="false" ht="12.75" hidden="false" customHeight="false" outlineLevel="0" collapsed="false">
      <c r="A15" s="0" t="s">
        <v>502</v>
      </c>
      <c r="B15" s="0" t="s">
        <v>111</v>
      </c>
      <c r="C15" s="0" t="s">
        <v>46</v>
      </c>
      <c r="D15" s="0" t="s">
        <v>112</v>
      </c>
      <c r="E15" s="0" t="s">
        <v>113</v>
      </c>
      <c r="G15" s="0" t="s">
        <v>101</v>
      </c>
      <c r="H15" s="0" t="s">
        <v>476</v>
      </c>
      <c r="K15" s="0" t="s">
        <v>486</v>
      </c>
      <c r="L15" s="0" t="s">
        <v>487</v>
      </c>
      <c r="O15" s="10" t="n">
        <v>40262</v>
      </c>
      <c r="P15" s="0" t="s">
        <v>105</v>
      </c>
      <c r="Q15" s="10" t="n">
        <v>39059</v>
      </c>
      <c r="R15" s="10"/>
      <c r="T15" s="0" t="s">
        <v>106</v>
      </c>
      <c r="U15" s="0" t="s">
        <v>114</v>
      </c>
      <c r="W15" s="0" t="s">
        <v>108</v>
      </c>
      <c r="Y15" s="0" t="s">
        <v>109</v>
      </c>
      <c r="Z15" s="0" t="s">
        <v>77</v>
      </c>
      <c r="AA15" s="0" t="s">
        <v>110</v>
      </c>
      <c r="AJ15" s="2" t="n">
        <v>-24.239</v>
      </c>
      <c r="AK15" s="2" t="n">
        <v>46.28233</v>
      </c>
      <c r="AM15" s="0" t="s">
        <v>79</v>
      </c>
      <c r="AP15" s="34"/>
      <c r="AW15" s="11"/>
      <c r="AX15" s="11"/>
      <c r="BQ15" s="11"/>
      <c r="BR15" s="11"/>
    </row>
    <row r="16" customFormat="false" ht="12.75" hidden="false" customHeight="false" outlineLevel="0" collapsed="false">
      <c r="A16" s="0" t="s">
        <v>503</v>
      </c>
      <c r="B16" s="0" t="s">
        <v>115</v>
      </c>
      <c r="C16" s="0" t="s">
        <v>46</v>
      </c>
      <c r="D16" s="0" t="s">
        <v>116</v>
      </c>
      <c r="E16" s="0" t="s">
        <v>117</v>
      </c>
      <c r="G16" s="0" t="s">
        <v>118</v>
      </c>
      <c r="H16" s="0" t="s">
        <v>476</v>
      </c>
      <c r="K16" s="0" t="s">
        <v>486</v>
      </c>
      <c r="L16" s="0" t="s">
        <v>487</v>
      </c>
      <c r="O16" s="10"/>
      <c r="P16" s="0" t="s">
        <v>105</v>
      </c>
      <c r="Q16" s="10" t="n">
        <v>39060</v>
      </c>
      <c r="R16" s="10"/>
      <c r="T16" s="0" t="s">
        <v>119</v>
      </c>
      <c r="U16" s="0" t="s">
        <v>120</v>
      </c>
      <c r="W16" s="0" t="s">
        <v>121</v>
      </c>
      <c r="Y16" s="0" t="s">
        <v>109</v>
      </c>
      <c r="Z16" s="0" t="s">
        <v>77</v>
      </c>
      <c r="AA16" s="0" t="s">
        <v>122</v>
      </c>
      <c r="AJ16" s="2" t="n">
        <v>-24.87367</v>
      </c>
      <c r="AK16" s="2" t="n">
        <v>46.39767</v>
      </c>
      <c r="AM16" s="0" t="s">
        <v>79</v>
      </c>
      <c r="AP16" s="34"/>
      <c r="AW16" s="11"/>
      <c r="AX16" s="11"/>
      <c r="BQ16" s="11"/>
    </row>
    <row r="17" customFormat="false" ht="12.75" hidden="false" customHeight="false" outlineLevel="0" collapsed="false">
      <c r="A17" s="0" t="s">
        <v>504</v>
      </c>
      <c r="B17" s="0" t="s">
        <v>123</v>
      </c>
      <c r="C17" s="0" t="s">
        <v>46</v>
      </c>
      <c r="D17" s="0" t="s">
        <v>124</v>
      </c>
      <c r="E17" s="0" t="s">
        <v>125</v>
      </c>
      <c r="G17" s="0" t="s">
        <v>101</v>
      </c>
      <c r="H17" s="0" t="s">
        <v>476</v>
      </c>
      <c r="K17" s="0" t="s">
        <v>486</v>
      </c>
      <c r="L17" s="0" t="s">
        <v>487</v>
      </c>
      <c r="O17" s="34" t="s">
        <v>501</v>
      </c>
      <c r="P17" s="0" t="s">
        <v>105</v>
      </c>
      <c r="Q17" s="10" t="n">
        <v>39851</v>
      </c>
      <c r="R17" s="10" t="n">
        <v>39852</v>
      </c>
      <c r="S17" s="0" t="s">
        <v>126</v>
      </c>
      <c r="T17" s="0" t="s">
        <v>73</v>
      </c>
      <c r="U17" s="0" t="s">
        <v>127</v>
      </c>
      <c r="W17" s="0" t="s">
        <v>128</v>
      </c>
      <c r="Y17" s="0" t="s">
        <v>109</v>
      </c>
      <c r="Z17" s="0" t="s">
        <v>77</v>
      </c>
      <c r="AA17" s="0" t="s">
        <v>129</v>
      </c>
      <c r="AJ17" s="2" t="n">
        <v>-23.4178</v>
      </c>
      <c r="AK17" s="2" t="n">
        <v>46.4478</v>
      </c>
      <c r="AM17" s="0" t="s">
        <v>79</v>
      </c>
      <c r="AP17" s="34"/>
      <c r="AW17" s="11"/>
      <c r="AX17" s="11"/>
      <c r="BQ17" s="11"/>
    </row>
    <row r="18" customFormat="false" ht="12.75" hidden="false" customHeight="false" outlineLevel="0" collapsed="false">
      <c r="A18" s="0" t="s">
        <v>505</v>
      </c>
      <c r="B18" s="0" t="s">
        <v>130</v>
      </c>
      <c r="C18" s="0" t="s">
        <v>98</v>
      </c>
      <c r="D18" s="0" t="s">
        <v>99</v>
      </c>
      <c r="E18" s="0" t="s">
        <v>131</v>
      </c>
      <c r="G18" s="0" t="s">
        <v>132</v>
      </c>
      <c r="H18" s="0" t="s">
        <v>476</v>
      </c>
      <c r="K18" s="0" t="s">
        <v>506</v>
      </c>
      <c r="L18" s="0" t="s">
        <v>507</v>
      </c>
      <c r="O18" s="10" t="n">
        <v>38055</v>
      </c>
      <c r="P18" s="0" t="s">
        <v>133</v>
      </c>
      <c r="Q18" s="10" t="n">
        <v>34013</v>
      </c>
      <c r="R18" s="10"/>
      <c r="S18" s="0" t="s">
        <v>74</v>
      </c>
      <c r="T18" s="0" t="s">
        <v>106</v>
      </c>
      <c r="W18" s="0" t="s">
        <v>134</v>
      </c>
      <c r="Y18" s="0" t="s">
        <v>109</v>
      </c>
      <c r="Z18" s="0" t="s">
        <v>77</v>
      </c>
      <c r="AA18" s="0" t="s">
        <v>135</v>
      </c>
      <c r="AJ18" s="2" t="n">
        <v>-23.65</v>
      </c>
      <c r="AK18" s="2" t="n">
        <v>44.63333333</v>
      </c>
      <c r="AM18" s="0" t="s">
        <v>79</v>
      </c>
      <c r="AP18" s="34"/>
      <c r="AW18" s="11"/>
      <c r="AX18" s="11"/>
      <c r="BQ18" s="11"/>
      <c r="BR18" s="11"/>
    </row>
    <row r="19" customFormat="false" ht="12.75" hidden="false" customHeight="false" outlineLevel="0" collapsed="false">
      <c r="A19" s="0" t="s">
        <v>508</v>
      </c>
      <c r="B19" s="0" t="s">
        <v>136</v>
      </c>
      <c r="C19" s="0" t="s">
        <v>55</v>
      </c>
      <c r="D19" s="0" t="s">
        <v>137</v>
      </c>
      <c r="E19" s="0" t="s">
        <v>138</v>
      </c>
      <c r="G19" s="0" t="s">
        <v>139</v>
      </c>
      <c r="H19" s="0" t="s">
        <v>476</v>
      </c>
      <c r="K19" s="0" t="s">
        <v>509</v>
      </c>
      <c r="L19" s="0" t="s">
        <v>509</v>
      </c>
      <c r="O19" s="34" t="s">
        <v>501</v>
      </c>
      <c r="P19" s="0" t="s">
        <v>133</v>
      </c>
      <c r="Q19" s="10" t="n">
        <v>34013</v>
      </c>
      <c r="R19" s="10"/>
      <c r="S19" s="0" t="s">
        <v>140</v>
      </c>
      <c r="T19" s="0" t="s">
        <v>106</v>
      </c>
      <c r="W19" s="0" t="s">
        <v>141</v>
      </c>
      <c r="Y19" s="0" t="s">
        <v>109</v>
      </c>
      <c r="Z19" s="0" t="s">
        <v>77</v>
      </c>
      <c r="AA19" s="0" t="s">
        <v>135</v>
      </c>
      <c r="AJ19" s="2" t="n">
        <v>-23.65</v>
      </c>
      <c r="AK19" s="2" t="n">
        <v>44.63333</v>
      </c>
      <c r="AM19" s="0" t="s">
        <v>79</v>
      </c>
      <c r="AP19" s="34"/>
      <c r="AW19" s="11"/>
      <c r="AX19" s="11"/>
      <c r="BQ19" s="11"/>
      <c r="BR19" s="11"/>
    </row>
    <row r="20" customFormat="false" ht="12.75" hidden="false" customHeight="false" outlineLevel="0" collapsed="false">
      <c r="A20" s="12" t="s">
        <v>510</v>
      </c>
      <c r="B20" s="0" t="s">
        <v>142</v>
      </c>
      <c r="C20" s="0" t="s">
        <v>46</v>
      </c>
      <c r="D20" s="0" t="s">
        <v>143</v>
      </c>
      <c r="E20" s="0" t="s">
        <v>144</v>
      </c>
      <c r="G20" s="0" t="s">
        <v>93</v>
      </c>
      <c r="H20" s="0" t="s">
        <v>476</v>
      </c>
      <c r="K20" s="0" t="s">
        <v>511</v>
      </c>
      <c r="L20" s="0" t="s">
        <v>512</v>
      </c>
      <c r="O20" s="10"/>
      <c r="P20" s="0" t="s">
        <v>145</v>
      </c>
      <c r="Q20" s="10" t="n">
        <v>31800</v>
      </c>
      <c r="R20" s="10"/>
      <c r="S20" s="0" t="s">
        <v>146</v>
      </c>
      <c r="W20" s="0" t="s">
        <v>147</v>
      </c>
      <c r="Y20" s="0" t="s">
        <v>148</v>
      </c>
      <c r="Z20" s="0" t="s">
        <v>149</v>
      </c>
      <c r="AB20" s="0" t="n">
        <v>-35</v>
      </c>
      <c r="AC20" s="0" t="n">
        <v>16</v>
      </c>
      <c r="AD20" s="0" t="n">
        <v>0</v>
      </c>
      <c r="AE20" s="12" t="s">
        <v>150</v>
      </c>
      <c r="AF20" s="0" t="n">
        <v>138</v>
      </c>
      <c r="AG20" s="0" t="n">
        <v>54</v>
      </c>
      <c r="AH20" s="0" t="n">
        <v>0</v>
      </c>
      <c r="AI20" s="12" t="s">
        <v>151</v>
      </c>
      <c r="AJ20" s="2" t="n">
        <f aca="false">AB20+(AC20/60)+(AD20/360)</f>
        <v>-34.7333333333333</v>
      </c>
      <c r="AK20" s="2" t="n">
        <f aca="false">AF20+(AG20/60)+(AH20/360)</f>
        <v>138.9</v>
      </c>
      <c r="AM20" s="0" t="s">
        <v>152</v>
      </c>
      <c r="AP20" s="34"/>
      <c r="AW20" s="11"/>
      <c r="AX20" s="11"/>
      <c r="BQ20" s="11"/>
      <c r="BR20" s="11"/>
    </row>
    <row r="21" customFormat="false" ht="12.75" hidden="false" customHeight="false" outlineLevel="0" collapsed="false">
      <c r="A21" s="0" t="s">
        <v>513</v>
      </c>
      <c r="B21" s="0" t="s">
        <v>153</v>
      </c>
      <c r="C21" s="0" t="s">
        <v>154</v>
      </c>
      <c r="D21" s="0" t="s">
        <v>155</v>
      </c>
      <c r="E21" s="0" t="s">
        <v>156</v>
      </c>
      <c r="G21" s="0" t="s">
        <v>58</v>
      </c>
      <c r="H21" s="0" t="s">
        <v>476</v>
      </c>
      <c r="K21" s="0" t="s">
        <v>511</v>
      </c>
      <c r="L21" s="0" t="s">
        <v>512</v>
      </c>
      <c r="O21" s="10" t="n">
        <v>39311</v>
      </c>
      <c r="P21" s="0" t="s">
        <v>157</v>
      </c>
      <c r="Q21" s="10" t="n">
        <v>23392</v>
      </c>
      <c r="R21" s="10"/>
      <c r="T21" s="0" t="s">
        <v>158</v>
      </c>
      <c r="W21" s="0" t="s">
        <v>159</v>
      </c>
      <c r="Z21" s="0" t="s">
        <v>159</v>
      </c>
      <c r="AJ21" s="2" t="n">
        <v>0</v>
      </c>
      <c r="AK21" s="2" t="n">
        <v>0</v>
      </c>
      <c r="AM21" s="0" t="s">
        <v>160</v>
      </c>
      <c r="AP21" s="34"/>
      <c r="AW21" s="11"/>
      <c r="AX21" s="11"/>
      <c r="BQ21" s="11"/>
      <c r="BR21" s="11"/>
    </row>
    <row r="22" customFormat="false" ht="12.75" hidden="false" customHeight="false" outlineLevel="0" collapsed="false">
      <c r="A22" s="0" t="s">
        <v>514</v>
      </c>
      <c r="B22" s="0" t="s">
        <v>161</v>
      </c>
      <c r="C22" s="0" t="s">
        <v>154</v>
      </c>
      <c r="D22" s="0" t="s">
        <v>162</v>
      </c>
      <c r="E22" s="0" t="s">
        <v>163</v>
      </c>
      <c r="G22" s="0" t="s">
        <v>58</v>
      </c>
      <c r="H22" s="0" t="s">
        <v>476</v>
      </c>
      <c r="K22" s="0" t="s">
        <v>511</v>
      </c>
      <c r="L22" s="0" t="s">
        <v>512</v>
      </c>
      <c r="N22" s="0" t="s">
        <v>515</v>
      </c>
      <c r="O22" s="10" t="n">
        <v>40813</v>
      </c>
      <c r="P22" s="0" t="s">
        <v>164</v>
      </c>
      <c r="Q22" s="10" t="n">
        <v>26712</v>
      </c>
      <c r="R22" s="10" t="n">
        <v>26714</v>
      </c>
      <c r="T22" s="0" t="s">
        <v>165</v>
      </c>
      <c r="W22" s="0" t="s">
        <v>166</v>
      </c>
      <c r="Y22" s="0" t="s">
        <v>167</v>
      </c>
      <c r="Z22" s="0" t="s">
        <v>149</v>
      </c>
      <c r="AA22" s="0" t="s">
        <v>168</v>
      </c>
      <c r="AJ22" s="2" t="n">
        <v>0</v>
      </c>
      <c r="AK22" s="2" t="n">
        <v>0</v>
      </c>
      <c r="AM22" s="0" t="s">
        <v>152</v>
      </c>
      <c r="AP22" s="34"/>
      <c r="AW22" s="11"/>
      <c r="AX22" s="11"/>
      <c r="BQ22" s="11"/>
      <c r="BR22" s="11"/>
    </row>
    <row r="23" customFormat="false" ht="12.75" hidden="false" customHeight="false" outlineLevel="0" collapsed="false">
      <c r="A23" s="0" t="s">
        <v>516</v>
      </c>
      <c r="B23" s="0" t="s">
        <v>169</v>
      </c>
      <c r="C23" s="0" t="s">
        <v>46</v>
      </c>
      <c r="D23" s="0" t="s">
        <v>170</v>
      </c>
      <c r="E23" s="0" t="s">
        <v>171</v>
      </c>
      <c r="G23" s="0" t="s">
        <v>58</v>
      </c>
      <c r="H23" s="0" t="s">
        <v>476</v>
      </c>
      <c r="K23" s="0" t="s">
        <v>486</v>
      </c>
      <c r="L23" s="0" t="s">
        <v>487</v>
      </c>
      <c r="O23" s="10"/>
      <c r="P23" s="0" t="s">
        <v>105</v>
      </c>
      <c r="Q23" s="10" t="n">
        <v>40517</v>
      </c>
      <c r="R23" s="10" t="n">
        <v>40517</v>
      </c>
      <c r="T23" s="0" t="s">
        <v>172</v>
      </c>
      <c r="U23" s="0" t="s">
        <v>173</v>
      </c>
      <c r="W23" s="0" t="s">
        <v>174</v>
      </c>
      <c r="Y23" s="0" t="s">
        <v>109</v>
      </c>
      <c r="Z23" s="0" t="s">
        <v>77</v>
      </c>
      <c r="AA23" s="0" t="s">
        <v>175</v>
      </c>
      <c r="AJ23" s="2" t="n">
        <v>-21.29961</v>
      </c>
      <c r="AK23" s="2" t="n">
        <v>45.12919</v>
      </c>
      <c r="AM23" s="0" t="s">
        <v>79</v>
      </c>
      <c r="AP23" s="34"/>
      <c r="AW23" s="11"/>
      <c r="AX23" s="11"/>
      <c r="BQ23" s="11"/>
      <c r="BR23" s="11"/>
    </row>
    <row r="24" customFormat="false" ht="12.75" hidden="false" customHeight="false" outlineLevel="0" collapsed="false">
      <c r="A24" s="0" t="s">
        <v>517</v>
      </c>
      <c r="B24" s="0" t="s">
        <v>169</v>
      </c>
      <c r="C24" s="0" t="s">
        <v>46</v>
      </c>
      <c r="D24" s="0" t="s">
        <v>170</v>
      </c>
      <c r="E24" s="0" t="s">
        <v>171</v>
      </c>
      <c r="G24" s="0" t="s">
        <v>176</v>
      </c>
      <c r="H24" s="0" t="s">
        <v>518</v>
      </c>
      <c r="J24" s="0" t="s">
        <v>519</v>
      </c>
      <c r="K24" s="0" t="s">
        <v>486</v>
      </c>
      <c r="L24" s="0" t="s">
        <v>487</v>
      </c>
      <c r="O24" s="10"/>
      <c r="P24" s="0" t="s">
        <v>105</v>
      </c>
      <c r="Q24" s="10" t="n">
        <v>40517</v>
      </c>
      <c r="R24" s="10" t="n">
        <v>40517</v>
      </c>
      <c r="T24" s="0" t="s">
        <v>172</v>
      </c>
      <c r="U24" s="0" t="s">
        <v>173</v>
      </c>
      <c r="W24" s="0" t="s">
        <v>174</v>
      </c>
      <c r="Y24" s="0" t="s">
        <v>109</v>
      </c>
      <c r="Z24" s="0" t="s">
        <v>77</v>
      </c>
      <c r="AA24" s="0" t="s">
        <v>175</v>
      </c>
      <c r="AJ24" s="2" t="n">
        <v>-21.29961</v>
      </c>
      <c r="AK24" s="2" t="n">
        <v>45.12919</v>
      </c>
      <c r="AM24" s="0" t="s">
        <v>79</v>
      </c>
      <c r="AP24" s="34"/>
      <c r="AW24" s="11"/>
      <c r="AX24" s="11"/>
      <c r="BQ24" s="11"/>
      <c r="BR24" s="11"/>
    </row>
    <row r="25" customFormat="false" ht="12.75" hidden="false" customHeight="false" outlineLevel="0" collapsed="false">
      <c r="A25" s="0" t="s">
        <v>520</v>
      </c>
      <c r="B25" s="0" t="s">
        <v>177</v>
      </c>
      <c r="C25" s="0" t="s">
        <v>98</v>
      </c>
      <c r="D25" s="0" t="s">
        <v>178</v>
      </c>
      <c r="E25" s="0" t="s">
        <v>179</v>
      </c>
      <c r="G25" s="0" t="s">
        <v>58</v>
      </c>
      <c r="H25" s="0" t="s">
        <v>476</v>
      </c>
      <c r="K25" s="0" t="s">
        <v>521</v>
      </c>
      <c r="L25" s="0" t="s">
        <v>507</v>
      </c>
      <c r="N25" s="0" t="s">
        <v>522</v>
      </c>
      <c r="O25" s="34" t="s">
        <v>523</v>
      </c>
      <c r="P25" s="0" t="s">
        <v>180</v>
      </c>
      <c r="Q25" s="10" t="n">
        <v>26512</v>
      </c>
      <c r="R25" s="10" t="n">
        <v>26526</v>
      </c>
      <c r="S25" s="0" t="s">
        <v>181</v>
      </c>
      <c r="W25" s="0" t="s">
        <v>182</v>
      </c>
      <c r="Z25" s="0" t="s">
        <v>183</v>
      </c>
      <c r="AJ25" s="2" t="n">
        <v>0</v>
      </c>
      <c r="AK25" s="2" t="n">
        <v>0</v>
      </c>
      <c r="AM25" s="0" t="s">
        <v>63</v>
      </c>
      <c r="AP25" s="34"/>
      <c r="AW25" s="11"/>
      <c r="AX25" s="11"/>
      <c r="BQ25" s="11"/>
      <c r="BR25" s="11"/>
    </row>
    <row r="26" customFormat="false" ht="12.75" hidden="false" customHeight="false" outlineLevel="0" collapsed="false">
      <c r="A26" s="0" t="s">
        <v>524</v>
      </c>
      <c r="B26" s="0" t="s">
        <v>184</v>
      </c>
      <c r="C26" s="0" t="s">
        <v>98</v>
      </c>
      <c r="D26" s="0" t="s">
        <v>178</v>
      </c>
      <c r="E26" s="0" t="s">
        <v>185</v>
      </c>
      <c r="G26" s="0" t="s">
        <v>58</v>
      </c>
      <c r="H26" s="0" t="s">
        <v>476</v>
      </c>
      <c r="K26" s="0" t="s">
        <v>521</v>
      </c>
      <c r="L26" s="0" t="s">
        <v>525</v>
      </c>
      <c r="M26" s="0" t="s">
        <v>526</v>
      </c>
      <c r="N26" s="0" t="s">
        <v>522</v>
      </c>
      <c r="O26" s="34" t="s">
        <v>523</v>
      </c>
      <c r="P26" s="0" t="s">
        <v>186</v>
      </c>
      <c r="Q26" s="10" t="n">
        <v>37408</v>
      </c>
      <c r="R26" s="10"/>
      <c r="S26" s="0" t="s">
        <v>84</v>
      </c>
      <c r="W26" s="0" t="s">
        <v>187</v>
      </c>
      <c r="Y26" s="0" t="s">
        <v>188</v>
      </c>
      <c r="Z26" s="0" t="s">
        <v>189</v>
      </c>
      <c r="AJ26" s="2" t="n">
        <v>-1.58639</v>
      </c>
      <c r="AK26" s="2" t="n">
        <v>-69.5275</v>
      </c>
      <c r="AM26" s="0" t="s">
        <v>63</v>
      </c>
      <c r="AP26" s="34"/>
      <c r="AW26" s="11"/>
      <c r="AX26" s="11"/>
      <c r="BQ26" s="11"/>
      <c r="BR26" s="11"/>
    </row>
    <row r="27" customFormat="false" ht="12.75" hidden="false" customHeight="false" outlineLevel="0" collapsed="false">
      <c r="A27" s="0" t="s">
        <v>527</v>
      </c>
      <c r="B27" s="0" t="s">
        <v>190</v>
      </c>
      <c r="C27" s="0" t="s">
        <v>98</v>
      </c>
      <c r="D27" s="0" t="s">
        <v>178</v>
      </c>
      <c r="E27" s="0" t="s">
        <v>191</v>
      </c>
      <c r="G27" s="0" t="s">
        <v>58</v>
      </c>
      <c r="H27" s="0" t="s">
        <v>476</v>
      </c>
      <c r="K27" s="0" t="s">
        <v>521</v>
      </c>
      <c r="L27" s="0" t="s">
        <v>528</v>
      </c>
      <c r="M27" s="0" t="s">
        <v>529</v>
      </c>
      <c r="N27" s="0" t="s">
        <v>522</v>
      </c>
      <c r="O27" s="34" t="s">
        <v>489</v>
      </c>
      <c r="P27" s="0" t="s">
        <v>192</v>
      </c>
      <c r="Q27" s="10" t="n">
        <v>27026</v>
      </c>
      <c r="R27" s="10"/>
      <c r="W27" s="0" t="s">
        <v>193</v>
      </c>
      <c r="Y27" s="0" t="s">
        <v>194</v>
      </c>
      <c r="Z27" s="0" t="s">
        <v>195</v>
      </c>
      <c r="AJ27" s="2" t="n">
        <v>0</v>
      </c>
      <c r="AK27" s="2" t="n">
        <v>0</v>
      </c>
      <c r="AM27" s="0" t="s">
        <v>63</v>
      </c>
      <c r="AP27" s="34"/>
      <c r="AW27" s="11"/>
      <c r="AX27" s="11"/>
      <c r="BQ27" s="11"/>
      <c r="BR27" s="11"/>
    </row>
    <row r="28" customFormat="false" ht="12.75" hidden="false" customHeight="false" outlineLevel="0" collapsed="false">
      <c r="A28" s="0" t="s">
        <v>530</v>
      </c>
      <c r="B28" s="0" t="s">
        <v>196</v>
      </c>
      <c r="C28" s="0" t="s">
        <v>197</v>
      </c>
      <c r="D28" s="0" t="s">
        <v>198</v>
      </c>
      <c r="E28" s="0" t="s">
        <v>199</v>
      </c>
      <c r="G28" s="0" t="s">
        <v>93</v>
      </c>
      <c r="H28" s="0" t="s">
        <v>476</v>
      </c>
      <c r="K28" s="0" t="s">
        <v>477</v>
      </c>
      <c r="L28" s="0" t="s">
        <v>478</v>
      </c>
      <c r="N28" s="0" t="s">
        <v>226</v>
      </c>
      <c r="O28" s="10" t="n">
        <v>40924</v>
      </c>
      <c r="P28" s="0" t="s">
        <v>200</v>
      </c>
      <c r="Q28" s="10" t="n">
        <v>21775</v>
      </c>
      <c r="R28" s="10"/>
      <c r="W28" s="0" t="s">
        <v>201</v>
      </c>
      <c r="Y28" s="0" t="s">
        <v>202</v>
      </c>
      <c r="Z28" s="0" t="s">
        <v>195</v>
      </c>
      <c r="AB28" s="13" t="n">
        <v>23</v>
      </c>
      <c r="AC28" s="13" t="n">
        <v>19</v>
      </c>
      <c r="AD28" s="13"/>
      <c r="AE28" s="13" t="s">
        <v>203</v>
      </c>
      <c r="AF28" s="13" t="n">
        <v>99</v>
      </c>
      <c r="AG28" s="13" t="n">
        <v>0</v>
      </c>
      <c r="AH28" s="13"/>
      <c r="AI28" s="13" t="s">
        <v>204</v>
      </c>
      <c r="AJ28" s="2" t="n">
        <f aca="false">IF((LEN(AB28)&gt;0),(AB28+AC28/60)*(IF(AE28="S",-1,1))," ")</f>
        <v>23.3166666666667</v>
      </c>
      <c r="AK28" s="2" t="n">
        <f aca="false">IF((LEN(AF28)&gt;0),(AF28+AG28/60)*IF(AI28="W",-1,1)," ")</f>
        <v>-99</v>
      </c>
      <c r="AM28" s="0" t="s">
        <v>63</v>
      </c>
      <c r="AN28" s="0" t="s">
        <v>205</v>
      </c>
      <c r="AP28" s="34"/>
    </row>
    <row r="29" customFormat="false" ht="12.75" hidden="false" customHeight="false" outlineLevel="0" collapsed="false">
      <c r="A29" s="0" t="s">
        <v>531</v>
      </c>
      <c r="B29" s="0" t="s">
        <v>206</v>
      </c>
      <c r="C29" s="0" t="s">
        <v>197</v>
      </c>
      <c r="D29" s="0" t="s">
        <v>198</v>
      </c>
      <c r="E29" s="0" t="s">
        <v>199</v>
      </c>
      <c r="G29" s="0" t="s">
        <v>93</v>
      </c>
      <c r="H29" s="0" t="s">
        <v>476</v>
      </c>
      <c r="K29" s="0" t="s">
        <v>477</v>
      </c>
      <c r="L29" s="0" t="s">
        <v>478</v>
      </c>
      <c r="N29" s="0" t="s">
        <v>226</v>
      </c>
      <c r="O29" s="10" t="n">
        <v>40924</v>
      </c>
      <c r="P29" s="0" t="s">
        <v>207</v>
      </c>
      <c r="Q29" s="10" t="n">
        <v>22765</v>
      </c>
      <c r="R29" s="10"/>
      <c r="W29" s="0" t="s">
        <v>208</v>
      </c>
      <c r="Y29" s="0" t="s">
        <v>208</v>
      </c>
      <c r="Z29" s="0" t="s">
        <v>195</v>
      </c>
      <c r="AB29" s="13" t="n">
        <v>19</v>
      </c>
      <c r="AC29" s="13" t="n">
        <v>12</v>
      </c>
      <c r="AD29" s="13"/>
      <c r="AE29" s="13" t="s">
        <v>203</v>
      </c>
      <c r="AF29" s="13" t="n">
        <v>96</v>
      </c>
      <c r="AG29" s="13" t="n">
        <v>8</v>
      </c>
      <c r="AH29" s="13"/>
      <c r="AI29" s="13" t="s">
        <v>204</v>
      </c>
      <c r="AJ29" s="2" t="n">
        <f aca="false">IF((LEN(AB29)&gt;0),(AB29+AC29/60)*(IF(AE29="S",-1,1))," ")</f>
        <v>19.2</v>
      </c>
      <c r="AK29" s="2" t="n">
        <f aca="false">IF((LEN(AF29)&gt;0),(AF29+AG29/60)*IF(AI29="W",-1,1)," ")</f>
        <v>-96.1333333333333</v>
      </c>
      <c r="AM29" s="0" t="s">
        <v>63</v>
      </c>
      <c r="AN29" s="0" t="s">
        <v>205</v>
      </c>
      <c r="AP29" s="34"/>
    </row>
    <row r="30" customFormat="false" ht="12.75" hidden="false" customHeight="false" outlineLevel="0" collapsed="false">
      <c r="A30" s="0" t="s">
        <v>532</v>
      </c>
      <c r="B30" s="0" t="s">
        <v>209</v>
      </c>
      <c r="C30" s="0" t="s">
        <v>197</v>
      </c>
      <c r="D30" s="0" t="s">
        <v>198</v>
      </c>
      <c r="E30" s="0" t="s">
        <v>199</v>
      </c>
      <c r="G30" s="0" t="s">
        <v>58</v>
      </c>
      <c r="H30" s="0" t="s">
        <v>476</v>
      </c>
      <c r="K30" s="0" t="s">
        <v>477</v>
      </c>
      <c r="L30" s="0" t="s">
        <v>478</v>
      </c>
      <c r="N30" s="0" t="s">
        <v>226</v>
      </c>
      <c r="O30" s="10" t="n">
        <v>40924</v>
      </c>
      <c r="P30" s="0" t="s">
        <v>210</v>
      </c>
      <c r="Q30" s="10" t="n">
        <v>23209</v>
      </c>
      <c r="R30" s="10"/>
      <c r="W30" s="0" t="s">
        <v>211</v>
      </c>
      <c r="Y30" s="0" t="s">
        <v>208</v>
      </c>
      <c r="Z30" s="0" t="s">
        <v>195</v>
      </c>
      <c r="AB30" s="13" t="n">
        <v>18</v>
      </c>
      <c r="AC30" s="13" t="n">
        <v>46</v>
      </c>
      <c r="AD30" s="13"/>
      <c r="AE30" s="13" t="s">
        <v>203</v>
      </c>
      <c r="AF30" s="13" t="n">
        <v>96</v>
      </c>
      <c r="AG30" s="13" t="n">
        <v>28</v>
      </c>
      <c r="AH30" s="13"/>
      <c r="AI30" s="13" t="s">
        <v>204</v>
      </c>
      <c r="AJ30" s="2" t="n">
        <f aca="false">IF((LEN(AB30)&gt;0),(AB30+AC30/60)*(IF(AE30="S",-1,1))," ")</f>
        <v>18.7666666666667</v>
      </c>
      <c r="AK30" s="2" t="n">
        <f aca="false">IF((LEN(AF30)&gt;0),(AF30+AG30/60)*IF(AI30="W",-1,1)," ")</f>
        <v>-96.4666666666667</v>
      </c>
      <c r="AM30" s="0" t="s">
        <v>63</v>
      </c>
      <c r="AN30" s="0" t="s">
        <v>212</v>
      </c>
      <c r="AP30" s="34"/>
    </row>
    <row r="31" customFormat="false" ht="12.75" hidden="false" customHeight="false" outlineLevel="0" collapsed="false">
      <c r="A31" s="0" t="s">
        <v>533</v>
      </c>
      <c r="B31" s="0" t="s">
        <v>213</v>
      </c>
      <c r="C31" s="0" t="s">
        <v>197</v>
      </c>
      <c r="D31" s="0" t="s">
        <v>198</v>
      </c>
      <c r="E31" s="0" t="s">
        <v>199</v>
      </c>
      <c r="G31" s="0" t="s">
        <v>93</v>
      </c>
      <c r="H31" s="0" t="s">
        <v>476</v>
      </c>
      <c r="K31" s="0" t="s">
        <v>477</v>
      </c>
      <c r="L31" s="0" t="s">
        <v>478</v>
      </c>
      <c r="N31" s="0" t="s">
        <v>226</v>
      </c>
      <c r="O31" s="10" t="n">
        <v>40924</v>
      </c>
      <c r="P31" s="0" t="s">
        <v>214</v>
      </c>
      <c r="Q31" s="10" t="n">
        <v>22757</v>
      </c>
      <c r="R31" s="10"/>
      <c r="W31" s="0" t="s">
        <v>215</v>
      </c>
      <c r="Y31" s="0" t="s">
        <v>208</v>
      </c>
      <c r="Z31" s="0" t="s">
        <v>195</v>
      </c>
      <c r="AB31" s="13" t="n">
        <v>17</v>
      </c>
      <c r="AC31" s="13" t="n">
        <v>34</v>
      </c>
      <c r="AD31" s="13"/>
      <c r="AE31" s="13" t="s">
        <v>203</v>
      </c>
      <c r="AF31" s="13" t="n">
        <v>95</v>
      </c>
      <c r="AG31" s="13" t="n">
        <v>6</v>
      </c>
      <c r="AH31" s="13"/>
      <c r="AI31" s="13" t="s">
        <v>204</v>
      </c>
      <c r="AJ31" s="2" t="n">
        <f aca="false">IF((LEN(AB31)&gt;0),(AB31+AC31/60)*(IF(AE31="S",-1,1))," ")</f>
        <v>17.5666666666667</v>
      </c>
      <c r="AK31" s="2" t="n">
        <f aca="false">IF((LEN(AF31)&gt;0),(AF31+AG31/60)*IF(AI31="W",-1,1)," ")</f>
        <v>-95.1</v>
      </c>
      <c r="AM31" s="0" t="s">
        <v>63</v>
      </c>
      <c r="AN31" s="0" t="s">
        <v>216</v>
      </c>
      <c r="AP31" s="34"/>
    </row>
    <row r="32" customFormat="false" ht="12.75" hidden="false" customHeight="false" outlineLevel="0" collapsed="false">
      <c r="A32" s="0" t="s">
        <v>534</v>
      </c>
      <c r="B32" s="0" t="s">
        <v>217</v>
      </c>
      <c r="C32" s="0" t="s">
        <v>197</v>
      </c>
      <c r="D32" s="0" t="s">
        <v>198</v>
      </c>
      <c r="E32" s="0" t="s">
        <v>199</v>
      </c>
      <c r="G32" s="0" t="s">
        <v>58</v>
      </c>
      <c r="H32" s="0" t="s">
        <v>476</v>
      </c>
      <c r="K32" s="0" t="s">
        <v>477</v>
      </c>
      <c r="L32" s="0" t="s">
        <v>478</v>
      </c>
      <c r="N32" s="0" t="s">
        <v>226</v>
      </c>
      <c r="O32" s="10" t="n">
        <v>40924</v>
      </c>
      <c r="P32" s="0" t="s">
        <v>214</v>
      </c>
      <c r="Q32" s="10" t="n">
        <v>23211</v>
      </c>
      <c r="R32" s="10"/>
      <c r="W32" s="0" t="s">
        <v>218</v>
      </c>
      <c r="Y32" s="0" t="s">
        <v>219</v>
      </c>
      <c r="Z32" s="0" t="s">
        <v>195</v>
      </c>
      <c r="AB32" s="13" t="n">
        <v>17</v>
      </c>
      <c r="AC32" s="13" t="n">
        <v>22</v>
      </c>
      <c r="AD32" s="13"/>
      <c r="AE32" s="13" t="s">
        <v>203</v>
      </c>
      <c r="AF32" s="13" t="n">
        <v>99</v>
      </c>
      <c r="AG32" s="13" t="n">
        <v>29</v>
      </c>
      <c r="AH32" s="13"/>
      <c r="AI32" s="13" t="s">
        <v>204</v>
      </c>
      <c r="AJ32" s="2" t="n">
        <f aca="false">IF((LEN(AB32)&gt;0),(AB32+AC32/60)*(IF(AE32="S",-1,1))," ")</f>
        <v>17.3666666666667</v>
      </c>
      <c r="AK32" s="2" t="n">
        <f aca="false">IF((LEN(AF32)&gt;0),(AF32+AG32/60)*IF(AI32="W",-1,1)," ")</f>
        <v>-99.4833333333333</v>
      </c>
      <c r="AM32" s="0" t="s">
        <v>63</v>
      </c>
      <c r="AN32" s="0" t="s">
        <v>220</v>
      </c>
      <c r="AP32" s="34"/>
    </row>
    <row r="33" customFormat="false" ht="12.75" hidden="false" customHeight="false" outlineLevel="0" collapsed="false">
      <c r="A33" s="0" t="s">
        <v>535</v>
      </c>
      <c r="B33" s="0" t="s">
        <v>221</v>
      </c>
      <c r="C33" s="0" t="s">
        <v>197</v>
      </c>
      <c r="D33" s="0" t="s">
        <v>198</v>
      </c>
      <c r="E33" s="0" t="s">
        <v>199</v>
      </c>
      <c r="G33" s="0" t="s">
        <v>58</v>
      </c>
      <c r="H33" s="0" t="s">
        <v>476</v>
      </c>
      <c r="K33" s="0" t="s">
        <v>477</v>
      </c>
      <c r="L33" s="0" t="s">
        <v>478</v>
      </c>
      <c r="N33" s="0" t="s">
        <v>226</v>
      </c>
      <c r="O33" s="10" t="n">
        <v>40924</v>
      </c>
      <c r="P33" s="0" t="s">
        <v>214</v>
      </c>
      <c r="Q33" s="10" t="n">
        <v>23211</v>
      </c>
      <c r="R33" s="10"/>
      <c r="W33" s="0" t="s">
        <v>218</v>
      </c>
      <c r="Y33" s="0" t="s">
        <v>219</v>
      </c>
      <c r="Z33" s="0" t="s">
        <v>195</v>
      </c>
      <c r="AB33" s="13" t="n">
        <v>17</v>
      </c>
      <c r="AC33" s="13" t="n">
        <v>22</v>
      </c>
      <c r="AD33" s="13"/>
      <c r="AE33" s="13" t="s">
        <v>203</v>
      </c>
      <c r="AF33" s="13" t="n">
        <v>99</v>
      </c>
      <c r="AG33" s="13" t="n">
        <v>29</v>
      </c>
      <c r="AH33" s="13"/>
      <c r="AI33" s="13" t="s">
        <v>204</v>
      </c>
      <c r="AJ33" s="2" t="n">
        <f aca="false">IF((LEN(AB33)&gt;0),(AB33+AC33/60)*(IF(AE33="S",-1,1))," ")</f>
        <v>17.3666666666667</v>
      </c>
      <c r="AK33" s="2" t="n">
        <f aca="false">IF((LEN(AF33)&gt;0),(AF33+AG33/60)*IF(AI33="W",-1,1)," ")</f>
        <v>-99.4833333333333</v>
      </c>
      <c r="AM33" s="0" t="s">
        <v>63</v>
      </c>
      <c r="AN33" s="0" t="s">
        <v>220</v>
      </c>
      <c r="AP33" s="34"/>
    </row>
    <row r="34" customFormat="false" ht="12.75" hidden="false" customHeight="false" outlineLevel="0" collapsed="false">
      <c r="A34" s="0" t="s">
        <v>536</v>
      </c>
      <c r="B34" s="0" t="s">
        <v>222</v>
      </c>
      <c r="C34" s="0" t="s">
        <v>197</v>
      </c>
      <c r="D34" s="0" t="s">
        <v>198</v>
      </c>
      <c r="E34" s="0" t="s">
        <v>199</v>
      </c>
      <c r="G34" s="0" t="s">
        <v>58</v>
      </c>
      <c r="H34" s="0" t="s">
        <v>476</v>
      </c>
      <c r="K34" s="0" t="s">
        <v>477</v>
      </c>
      <c r="L34" s="0" t="s">
        <v>478</v>
      </c>
      <c r="N34" s="0" t="s">
        <v>226</v>
      </c>
      <c r="O34" s="10" t="n">
        <v>40924</v>
      </c>
      <c r="P34" s="0" t="s">
        <v>210</v>
      </c>
      <c r="Q34" s="10" t="n">
        <v>23211</v>
      </c>
      <c r="R34" s="10"/>
      <c r="W34" s="0" t="s">
        <v>218</v>
      </c>
      <c r="Y34" s="0" t="s">
        <v>219</v>
      </c>
      <c r="Z34" s="0" t="s">
        <v>195</v>
      </c>
      <c r="AB34" s="13" t="n">
        <v>17</v>
      </c>
      <c r="AC34" s="13" t="n">
        <v>22</v>
      </c>
      <c r="AD34" s="13"/>
      <c r="AE34" s="13" t="s">
        <v>203</v>
      </c>
      <c r="AF34" s="13" t="n">
        <v>99</v>
      </c>
      <c r="AG34" s="13" t="n">
        <v>29</v>
      </c>
      <c r="AH34" s="13"/>
      <c r="AI34" s="13" t="s">
        <v>204</v>
      </c>
      <c r="AJ34" s="2" t="n">
        <f aca="false">IF((LEN(AB34)&gt;0),(AB34+AC34/60)*(IF(AE34="S",-1,1))," ")</f>
        <v>17.3666666666667</v>
      </c>
      <c r="AK34" s="2" t="n">
        <f aca="false">IF((LEN(AF34)&gt;0),(AF34+AG34/60)*IF(AI34="W",-1,1)," ")</f>
        <v>-99.4833333333333</v>
      </c>
      <c r="AM34" s="0" t="s">
        <v>63</v>
      </c>
      <c r="AN34" s="0" t="s">
        <v>220</v>
      </c>
      <c r="AP34" s="34"/>
    </row>
    <row r="35" customFormat="false" ht="12.75" hidden="false" customHeight="false" outlineLevel="0" collapsed="false">
      <c r="A35" s="0" t="s">
        <v>537</v>
      </c>
      <c r="B35" s="0" t="s">
        <v>223</v>
      </c>
      <c r="C35" s="0" t="s">
        <v>197</v>
      </c>
      <c r="D35" s="0" t="s">
        <v>198</v>
      </c>
      <c r="E35" s="0" t="s">
        <v>199</v>
      </c>
      <c r="G35" s="0" t="s">
        <v>58</v>
      </c>
      <c r="H35" s="0" t="s">
        <v>476</v>
      </c>
      <c r="K35" s="0" t="s">
        <v>477</v>
      </c>
      <c r="L35" s="0" t="s">
        <v>478</v>
      </c>
      <c r="N35" s="0" t="s">
        <v>226</v>
      </c>
      <c r="O35" s="10" t="n">
        <v>40924</v>
      </c>
      <c r="P35" s="0" t="s">
        <v>210</v>
      </c>
      <c r="Q35" s="10" t="n">
        <v>23210</v>
      </c>
      <c r="R35" s="10"/>
      <c r="W35" s="0" t="s">
        <v>218</v>
      </c>
      <c r="Y35" s="0" t="s">
        <v>219</v>
      </c>
      <c r="Z35" s="0" t="s">
        <v>195</v>
      </c>
      <c r="AB35" s="13" t="n">
        <v>17</v>
      </c>
      <c r="AC35" s="13" t="n">
        <v>22</v>
      </c>
      <c r="AD35" s="13"/>
      <c r="AE35" s="13" t="s">
        <v>203</v>
      </c>
      <c r="AF35" s="13" t="n">
        <v>99</v>
      </c>
      <c r="AG35" s="13" t="n">
        <v>29</v>
      </c>
      <c r="AH35" s="13"/>
      <c r="AI35" s="13" t="s">
        <v>204</v>
      </c>
      <c r="AJ35" s="2" t="n">
        <f aca="false">IF((LEN(AB35)&gt;0),(AB35+AC35/60)*(IF(AE35="S",-1,1))," ")</f>
        <v>17.3666666666667</v>
      </c>
      <c r="AK35" s="2" t="n">
        <f aca="false">IF((LEN(AF35)&gt;0),(AF35+AG35/60)*IF(AI35="W",-1,1)," ")</f>
        <v>-99.4833333333333</v>
      </c>
      <c r="AM35" s="0" t="s">
        <v>63</v>
      </c>
      <c r="AN35" s="0" t="s">
        <v>220</v>
      </c>
      <c r="AP35" s="34"/>
    </row>
    <row r="36" customFormat="false" ht="12.75" hidden="false" customHeight="false" outlineLevel="0" collapsed="false">
      <c r="A36" s="0" t="s">
        <v>538</v>
      </c>
      <c r="B36" s="0" t="s">
        <v>224</v>
      </c>
      <c r="C36" s="0" t="s">
        <v>197</v>
      </c>
      <c r="D36" s="0" t="s">
        <v>198</v>
      </c>
      <c r="E36" s="0" t="s">
        <v>199</v>
      </c>
      <c r="G36" s="0" t="s">
        <v>225</v>
      </c>
      <c r="H36" s="0" t="s">
        <v>476</v>
      </c>
      <c r="K36" s="0" t="s">
        <v>477</v>
      </c>
      <c r="L36" s="0" t="s">
        <v>478</v>
      </c>
      <c r="N36" s="0" t="s">
        <v>226</v>
      </c>
      <c r="O36" s="10" t="n">
        <v>40924</v>
      </c>
      <c r="P36" s="0" t="s">
        <v>226</v>
      </c>
      <c r="Q36" s="10" t="n">
        <v>38799</v>
      </c>
      <c r="R36" s="10"/>
      <c r="T36" s="0" t="s">
        <v>106</v>
      </c>
      <c r="U36" s="0" t="s">
        <v>227</v>
      </c>
      <c r="V36" s="0" t="s">
        <v>228</v>
      </c>
      <c r="W36" s="0" t="s">
        <v>229</v>
      </c>
      <c r="Y36" s="0" t="s">
        <v>194</v>
      </c>
      <c r="Z36" s="0" t="s">
        <v>195</v>
      </c>
      <c r="AA36" s="0" t="s">
        <v>230</v>
      </c>
      <c r="AB36" s="13" t="n">
        <v>15</v>
      </c>
      <c r="AC36" s="13" t="n">
        <v>40</v>
      </c>
      <c r="AD36" s="13"/>
      <c r="AE36" s="13" t="s">
        <v>203</v>
      </c>
      <c r="AF36" s="13" t="n">
        <v>96</v>
      </c>
      <c r="AG36" s="13" t="n">
        <v>33</v>
      </c>
      <c r="AH36" s="13"/>
      <c r="AI36" s="13" t="s">
        <v>204</v>
      </c>
      <c r="AJ36" s="2" t="n">
        <f aca="false">IF((LEN(AB36)&gt;0),(AB36+AC36/60)*(IF(AE36="S",-1,1))," ")</f>
        <v>15.6666666666667</v>
      </c>
      <c r="AK36" s="2" t="n">
        <f aca="false">IF((LEN(AF36)&gt;0),(AF36+AG36/60)*IF(AI36="W",-1,1)," ")</f>
        <v>-96.55</v>
      </c>
      <c r="AL36" s="0" t="s">
        <v>231</v>
      </c>
      <c r="AM36" s="0" t="s">
        <v>63</v>
      </c>
      <c r="AN36" s="0" t="s">
        <v>232</v>
      </c>
      <c r="AP36" s="34"/>
    </row>
    <row r="37" customFormat="false" ht="12.75" hidden="false" customHeight="false" outlineLevel="0" collapsed="false">
      <c r="A37" s="0" t="s">
        <v>539</v>
      </c>
      <c r="B37" s="0" t="s">
        <v>233</v>
      </c>
      <c r="C37" s="0" t="s">
        <v>197</v>
      </c>
      <c r="D37" s="0" t="s">
        <v>198</v>
      </c>
      <c r="E37" s="0" t="s">
        <v>199</v>
      </c>
      <c r="G37" s="0" t="s">
        <v>35</v>
      </c>
      <c r="H37" s="0" t="s">
        <v>476</v>
      </c>
      <c r="K37" s="0" t="s">
        <v>477</v>
      </c>
      <c r="L37" s="0" t="s">
        <v>478</v>
      </c>
      <c r="N37" s="0" t="s">
        <v>226</v>
      </c>
      <c r="O37" s="10" t="n">
        <v>40924</v>
      </c>
      <c r="P37" s="0" t="s">
        <v>234</v>
      </c>
      <c r="Q37" s="10" t="n">
        <v>4379</v>
      </c>
      <c r="R37" s="10"/>
      <c r="U37" s="0" t="s">
        <v>235</v>
      </c>
      <c r="W37" s="0" t="s">
        <v>236</v>
      </c>
      <c r="Y37" s="0" t="s">
        <v>236</v>
      </c>
      <c r="Z37" s="0" t="s">
        <v>237</v>
      </c>
      <c r="AB37" s="13" t="n">
        <v>14</v>
      </c>
      <c r="AC37" s="13" t="n">
        <v>18</v>
      </c>
      <c r="AD37" s="13"/>
      <c r="AE37" s="13" t="s">
        <v>203</v>
      </c>
      <c r="AF37" s="13" t="n">
        <v>90</v>
      </c>
      <c r="AG37" s="13" t="n">
        <v>47</v>
      </c>
      <c r="AH37" s="13"/>
      <c r="AI37" s="13" t="s">
        <v>204</v>
      </c>
      <c r="AJ37" s="2" t="n">
        <f aca="false">IF((LEN(AB37)&gt;0),(AB37+AC37/60)*(IF(AE37="S",-1,1))," ")</f>
        <v>14.3</v>
      </c>
      <c r="AK37" s="2" t="n">
        <f aca="false">IF((LEN(AF37)&gt;0),(AF37+AG37/60)*IF(AI37="W",-1,1)," ")</f>
        <v>-90.7833333333333</v>
      </c>
      <c r="AM37" s="0" t="s">
        <v>63</v>
      </c>
      <c r="AN37" s="0" t="s">
        <v>205</v>
      </c>
      <c r="AP37" s="34"/>
    </row>
    <row r="38" customFormat="false" ht="12.75" hidden="false" customHeight="false" outlineLevel="0" collapsed="false">
      <c r="A38" s="0" t="s">
        <v>540</v>
      </c>
      <c r="B38" s="0" t="s">
        <v>238</v>
      </c>
      <c r="C38" s="0" t="s">
        <v>197</v>
      </c>
      <c r="D38" s="0" t="s">
        <v>198</v>
      </c>
      <c r="E38" s="0" t="s">
        <v>199</v>
      </c>
      <c r="G38" s="0" t="s">
        <v>58</v>
      </c>
      <c r="H38" s="0" t="s">
        <v>476</v>
      </c>
      <c r="K38" s="0" t="s">
        <v>477</v>
      </c>
      <c r="L38" s="0" t="s">
        <v>478</v>
      </c>
      <c r="N38" s="0" t="s">
        <v>226</v>
      </c>
      <c r="O38" s="10" t="n">
        <v>40924</v>
      </c>
      <c r="P38" s="0" t="s">
        <v>239</v>
      </c>
      <c r="Q38" s="10" t="n">
        <v>37803</v>
      </c>
      <c r="R38" s="10"/>
      <c r="U38" s="0" t="s">
        <v>240</v>
      </c>
      <c r="W38" s="0" t="s">
        <v>241</v>
      </c>
      <c r="Y38" s="0" t="s">
        <v>242</v>
      </c>
      <c r="Z38" s="0" t="s">
        <v>183</v>
      </c>
      <c r="AA38" s="0" t="s">
        <v>243</v>
      </c>
      <c r="AB38" s="0" t="n">
        <v>17</v>
      </c>
      <c r="AC38" s="0" t="n">
        <v>45.12</v>
      </c>
      <c r="AE38" s="0" t="s">
        <v>203</v>
      </c>
      <c r="AF38" s="0" t="n">
        <v>88</v>
      </c>
      <c r="AG38" s="0" t="n">
        <v>39.2</v>
      </c>
      <c r="AI38" s="0" t="s">
        <v>204</v>
      </c>
      <c r="AJ38" s="2" t="n">
        <f aca="false">IF((LEN(AB38)&gt;0),(AB38+AC38/60)*(IF(AE38="S",-1,1))," ")</f>
        <v>17.752</v>
      </c>
      <c r="AK38" s="2" t="n">
        <f aca="false">IF((LEN(AF38)&gt;0),(AF38+AG38/60)*IF(AI38="W",-1,1)," ")</f>
        <v>-88.6533333333333</v>
      </c>
      <c r="AM38" s="0" t="s">
        <v>63</v>
      </c>
      <c r="AP38" s="34"/>
    </row>
    <row r="39" customFormat="false" ht="12.75" hidden="false" customHeight="false" outlineLevel="0" collapsed="false">
      <c r="A39" s="0" t="s">
        <v>541</v>
      </c>
      <c r="B39" s="0" t="s">
        <v>244</v>
      </c>
      <c r="C39" s="0" t="s">
        <v>197</v>
      </c>
      <c r="D39" s="0" t="s">
        <v>198</v>
      </c>
      <c r="E39" s="0" t="s">
        <v>245</v>
      </c>
      <c r="G39" s="0" t="s">
        <v>93</v>
      </c>
      <c r="H39" s="0" t="s">
        <v>476</v>
      </c>
      <c r="K39" s="0" t="s">
        <v>477</v>
      </c>
      <c r="L39" s="0" t="s">
        <v>478</v>
      </c>
      <c r="N39" s="0" t="s">
        <v>226</v>
      </c>
      <c r="O39" s="10" t="n">
        <v>40924</v>
      </c>
      <c r="P39" s="0" t="s">
        <v>246</v>
      </c>
      <c r="Q39" s="10" t="n">
        <v>23182</v>
      </c>
      <c r="R39" s="10"/>
      <c r="W39" s="0" t="s">
        <v>247</v>
      </c>
      <c r="Y39" s="0" t="s">
        <v>248</v>
      </c>
      <c r="Z39" s="0" t="s">
        <v>249</v>
      </c>
      <c r="AB39" s="13" t="n">
        <v>13</v>
      </c>
      <c r="AC39" s="13" t="n">
        <v>42</v>
      </c>
      <c r="AD39" s="13"/>
      <c r="AE39" s="13" t="s">
        <v>203</v>
      </c>
      <c r="AF39" s="13" t="n">
        <v>89</v>
      </c>
      <c r="AG39" s="13" t="n">
        <v>19</v>
      </c>
      <c r="AH39" s="13"/>
      <c r="AI39" s="13" t="s">
        <v>204</v>
      </c>
      <c r="AJ39" s="2" t="n">
        <f aca="false">IF((LEN(AB39)&gt;0),(AB39+AC39/60)*(IF(AE39="S",-1,1))," ")</f>
        <v>13.7</v>
      </c>
      <c r="AK39" s="2" t="n">
        <f aca="false">IF((LEN(AF39)&gt;0),(AF39+AG39/60)*IF(AI39="W",-1,1)," ")</f>
        <v>-89.3166666666667</v>
      </c>
      <c r="AM39" s="0" t="s">
        <v>63</v>
      </c>
      <c r="AN39" s="0" t="s">
        <v>250</v>
      </c>
      <c r="AP39" s="34"/>
    </row>
    <row r="40" customFormat="false" ht="12.75" hidden="false" customHeight="false" outlineLevel="0" collapsed="false">
      <c r="A40" s="0" t="s">
        <v>542</v>
      </c>
      <c r="B40" s="0" t="s">
        <v>251</v>
      </c>
      <c r="C40" s="0" t="s">
        <v>197</v>
      </c>
      <c r="D40" s="0" t="s">
        <v>198</v>
      </c>
      <c r="E40" s="0" t="s">
        <v>245</v>
      </c>
      <c r="G40" s="0" t="s">
        <v>93</v>
      </c>
      <c r="H40" s="0" t="s">
        <v>476</v>
      </c>
      <c r="K40" s="0" t="s">
        <v>477</v>
      </c>
      <c r="L40" s="0" t="s">
        <v>478</v>
      </c>
      <c r="N40" s="0" t="s">
        <v>226</v>
      </c>
      <c r="O40" s="10" t="n">
        <v>40924</v>
      </c>
      <c r="P40" s="0" t="s">
        <v>246</v>
      </c>
      <c r="Q40" s="10" t="n">
        <v>23182</v>
      </c>
      <c r="R40" s="10"/>
      <c r="W40" s="0" t="s">
        <v>247</v>
      </c>
      <c r="Y40" s="0" t="s">
        <v>248</v>
      </c>
      <c r="Z40" s="0" t="s">
        <v>249</v>
      </c>
      <c r="AB40" s="13" t="n">
        <v>13</v>
      </c>
      <c r="AC40" s="13" t="n">
        <v>42</v>
      </c>
      <c r="AD40" s="13"/>
      <c r="AE40" s="13" t="s">
        <v>203</v>
      </c>
      <c r="AF40" s="13" t="n">
        <v>89</v>
      </c>
      <c r="AG40" s="13" t="n">
        <v>19</v>
      </c>
      <c r="AH40" s="13"/>
      <c r="AI40" s="13" t="s">
        <v>204</v>
      </c>
      <c r="AJ40" s="2" t="n">
        <f aca="false">IF((LEN(AB40)&gt;0),(AB40+AC40/60)*(IF(AE40="S",-1,1))," ")</f>
        <v>13.7</v>
      </c>
      <c r="AK40" s="2" t="n">
        <f aca="false">IF((LEN(AF40)&gt;0),(AF40+AG40/60)*IF(AI40="W",-1,1)," ")</f>
        <v>-89.3166666666667</v>
      </c>
      <c r="AM40" s="0" t="s">
        <v>63</v>
      </c>
      <c r="AN40" s="0" t="s">
        <v>250</v>
      </c>
      <c r="AP40" s="34"/>
    </row>
    <row r="41" customFormat="false" ht="12.75" hidden="false" customHeight="false" outlineLevel="0" collapsed="false">
      <c r="A41" s="0" t="s">
        <v>543</v>
      </c>
      <c r="B41" s="0" t="s">
        <v>252</v>
      </c>
      <c r="C41" s="0" t="s">
        <v>197</v>
      </c>
      <c r="D41" s="0" t="s">
        <v>198</v>
      </c>
      <c r="E41" s="0" t="s">
        <v>245</v>
      </c>
      <c r="G41" s="0" t="s">
        <v>93</v>
      </c>
      <c r="H41" s="0" t="s">
        <v>476</v>
      </c>
      <c r="K41" s="0" t="s">
        <v>477</v>
      </c>
      <c r="L41" s="0" t="s">
        <v>478</v>
      </c>
      <c r="N41" s="0" t="s">
        <v>226</v>
      </c>
      <c r="O41" s="10" t="n">
        <v>40924</v>
      </c>
      <c r="P41" s="0" t="s">
        <v>253</v>
      </c>
      <c r="Q41" s="10" t="n">
        <v>22478</v>
      </c>
      <c r="R41" s="10"/>
      <c r="W41" s="0" t="s">
        <v>254</v>
      </c>
      <c r="Y41" s="0" t="s">
        <v>248</v>
      </c>
      <c r="Z41" s="0" t="s">
        <v>249</v>
      </c>
      <c r="AB41" s="13" t="n">
        <v>13</v>
      </c>
      <c r="AC41" s="13" t="n">
        <v>42</v>
      </c>
      <c r="AD41" s="13"/>
      <c r="AE41" s="13" t="s">
        <v>203</v>
      </c>
      <c r="AF41" s="13" t="n">
        <v>89</v>
      </c>
      <c r="AG41" s="13" t="n">
        <v>19</v>
      </c>
      <c r="AH41" s="13"/>
      <c r="AI41" s="13" t="s">
        <v>204</v>
      </c>
      <c r="AJ41" s="2" t="n">
        <f aca="false">IF((LEN(AB41)&gt;0),(AB41+AC41/60)*(IF(AE41="S",-1,1))," ")</f>
        <v>13.7</v>
      </c>
      <c r="AK41" s="2" t="n">
        <f aca="false">IF((LEN(AF41)&gt;0),(AF41+AG41/60)*IF(AI41="W",-1,1)," ")</f>
        <v>-89.3166666666667</v>
      </c>
      <c r="AM41" s="0" t="s">
        <v>63</v>
      </c>
      <c r="AN41" s="0" t="s">
        <v>255</v>
      </c>
      <c r="AP41" s="34"/>
    </row>
    <row r="42" customFormat="false" ht="12.75" hidden="false" customHeight="false" outlineLevel="0" collapsed="false">
      <c r="A42" s="0" t="s">
        <v>544</v>
      </c>
      <c r="B42" s="0" t="s">
        <v>256</v>
      </c>
      <c r="C42" s="0" t="s">
        <v>197</v>
      </c>
      <c r="D42" s="0" t="s">
        <v>198</v>
      </c>
      <c r="E42" s="0" t="s">
        <v>245</v>
      </c>
      <c r="G42" s="0" t="s">
        <v>93</v>
      </c>
      <c r="H42" s="0" t="s">
        <v>476</v>
      </c>
      <c r="K42" s="0" t="s">
        <v>477</v>
      </c>
      <c r="L42" s="0" t="s">
        <v>478</v>
      </c>
      <c r="N42" s="0" t="s">
        <v>226</v>
      </c>
      <c r="O42" s="10" t="n">
        <v>40924</v>
      </c>
      <c r="P42" s="0" t="s">
        <v>246</v>
      </c>
      <c r="Q42" s="10" t="n">
        <v>23195</v>
      </c>
      <c r="R42" s="10"/>
      <c r="W42" s="0" t="s">
        <v>257</v>
      </c>
      <c r="Y42" s="0" t="s">
        <v>248</v>
      </c>
      <c r="Z42" s="0" t="s">
        <v>249</v>
      </c>
      <c r="AB42" s="13" t="n">
        <v>13</v>
      </c>
      <c r="AC42" s="13" t="n">
        <v>50</v>
      </c>
      <c r="AD42" s="13"/>
      <c r="AE42" s="13" t="s">
        <v>203</v>
      </c>
      <c r="AF42" s="13" t="n">
        <v>89</v>
      </c>
      <c r="AG42" s="13" t="n">
        <v>17</v>
      </c>
      <c r="AH42" s="13"/>
      <c r="AI42" s="13" t="s">
        <v>204</v>
      </c>
      <c r="AJ42" s="2" t="n">
        <f aca="false">IF((LEN(AB42)&gt;0),(AB42+AC42/60)*(IF(AE42="S",-1,1))," ")</f>
        <v>13.8333333333333</v>
      </c>
      <c r="AK42" s="2" t="n">
        <f aca="false">IF((LEN(AF42)&gt;0),(AF42+AG42/60)*IF(AI42="W",-1,1)," ")</f>
        <v>-89.2833333333333</v>
      </c>
      <c r="AM42" s="0" t="s">
        <v>63</v>
      </c>
      <c r="AN42" s="0" t="s">
        <v>205</v>
      </c>
      <c r="AP42" s="34"/>
    </row>
    <row r="43" customFormat="false" ht="12.75" hidden="false" customHeight="false" outlineLevel="0" collapsed="false">
      <c r="A43" s="0" t="s">
        <v>545</v>
      </c>
      <c r="B43" s="0" t="s">
        <v>258</v>
      </c>
      <c r="C43" s="0" t="s">
        <v>197</v>
      </c>
      <c r="D43" s="0" t="s">
        <v>198</v>
      </c>
      <c r="E43" s="0" t="s">
        <v>245</v>
      </c>
      <c r="G43" s="0" t="s">
        <v>93</v>
      </c>
      <c r="H43" s="0" t="s">
        <v>476</v>
      </c>
      <c r="K43" s="0" t="s">
        <v>477</v>
      </c>
      <c r="L43" s="0" t="s">
        <v>478</v>
      </c>
      <c r="N43" s="0" t="s">
        <v>226</v>
      </c>
      <c r="O43" s="10" t="n">
        <v>40924</v>
      </c>
      <c r="P43" s="0" t="s">
        <v>246</v>
      </c>
      <c r="Q43" s="10" t="n">
        <v>23208</v>
      </c>
      <c r="R43" s="10"/>
      <c r="W43" s="0" t="s">
        <v>257</v>
      </c>
      <c r="Y43" s="0" t="s">
        <v>248</v>
      </c>
      <c r="Z43" s="0" t="s">
        <v>249</v>
      </c>
      <c r="AB43" s="13" t="n">
        <v>13</v>
      </c>
      <c r="AC43" s="13" t="n">
        <v>50</v>
      </c>
      <c r="AD43" s="13"/>
      <c r="AE43" s="13" t="s">
        <v>203</v>
      </c>
      <c r="AF43" s="13" t="n">
        <v>89</v>
      </c>
      <c r="AG43" s="13" t="n">
        <v>17</v>
      </c>
      <c r="AH43" s="13"/>
      <c r="AI43" s="13" t="s">
        <v>204</v>
      </c>
      <c r="AJ43" s="2" t="n">
        <f aca="false">IF((LEN(AB43)&gt;0),(AB43+AC43/60)*(IF(AE43="S",-1,1))," ")</f>
        <v>13.8333333333333</v>
      </c>
      <c r="AK43" s="2" t="n">
        <f aca="false">IF((LEN(AF43)&gt;0),(AF43+AG43/60)*IF(AI43="W",-1,1)," ")</f>
        <v>-89.2833333333333</v>
      </c>
      <c r="AM43" s="0" t="s">
        <v>63</v>
      </c>
      <c r="AN43" s="0" t="s">
        <v>205</v>
      </c>
      <c r="AP43" s="34"/>
    </row>
    <row r="44" customFormat="false" ht="12.75" hidden="false" customHeight="false" outlineLevel="0" collapsed="false">
      <c r="A44" s="0" t="s">
        <v>546</v>
      </c>
      <c r="B44" s="0" t="s">
        <v>259</v>
      </c>
      <c r="C44" s="0" t="s">
        <v>197</v>
      </c>
      <c r="D44" s="0" t="s">
        <v>198</v>
      </c>
      <c r="E44" s="0" t="s">
        <v>245</v>
      </c>
      <c r="G44" s="0" t="s">
        <v>58</v>
      </c>
      <c r="H44" s="0" t="s">
        <v>476</v>
      </c>
      <c r="K44" s="0" t="s">
        <v>477</v>
      </c>
      <c r="L44" s="0" t="s">
        <v>478</v>
      </c>
      <c r="N44" s="0" t="s">
        <v>226</v>
      </c>
      <c r="O44" s="10" t="n">
        <v>40924</v>
      </c>
      <c r="P44" s="0" t="s">
        <v>260</v>
      </c>
      <c r="Q44" s="10" t="n">
        <v>27827</v>
      </c>
      <c r="R44" s="10"/>
      <c r="W44" s="0" t="s">
        <v>261</v>
      </c>
      <c r="Y44" s="0" t="s">
        <v>262</v>
      </c>
      <c r="Z44" s="0" t="s">
        <v>263</v>
      </c>
      <c r="AB44" s="13" t="n">
        <v>10</v>
      </c>
      <c r="AC44" s="13" t="n">
        <v>27</v>
      </c>
      <c r="AD44" s="13"/>
      <c r="AE44" s="13" t="s">
        <v>203</v>
      </c>
      <c r="AF44" s="13" t="n">
        <v>85</v>
      </c>
      <c r="AG44" s="13" t="n">
        <v>8</v>
      </c>
      <c r="AH44" s="13"/>
      <c r="AI44" s="13" t="s">
        <v>204</v>
      </c>
      <c r="AJ44" s="2" t="n">
        <f aca="false">IF((LEN(AB44)&gt;0),(AB44+AC44/60)*(IF(AE44="S",-1,1))," ")</f>
        <v>10.45</v>
      </c>
      <c r="AK44" s="2" t="n">
        <f aca="false">IF((LEN(AF44)&gt;0),(AF44+AG44/60)*IF(AI44="W",-1,1)," ")</f>
        <v>-85.1333333333333</v>
      </c>
      <c r="AM44" s="0" t="s">
        <v>63</v>
      </c>
      <c r="AN44" s="0" t="s">
        <v>264</v>
      </c>
      <c r="AP44" s="34"/>
    </row>
    <row r="45" customFormat="false" ht="12.75" hidden="false" customHeight="false" outlineLevel="0" collapsed="false">
      <c r="A45" s="0" t="s">
        <v>547</v>
      </c>
      <c r="B45" s="0" t="s">
        <v>265</v>
      </c>
      <c r="C45" s="0" t="s">
        <v>197</v>
      </c>
      <c r="D45" s="0" t="s">
        <v>198</v>
      </c>
      <c r="E45" s="0" t="s">
        <v>245</v>
      </c>
      <c r="G45" s="0" t="s">
        <v>58</v>
      </c>
      <c r="H45" s="0" t="s">
        <v>476</v>
      </c>
      <c r="K45" s="0" t="s">
        <v>477</v>
      </c>
      <c r="L45" s="0" t="s">
        <v>478</v>
      </c>
      <c r="N45" s="0" t="s">
        <v>226</v>
      </c>
      <c r="O45" s="10" t="n">
        <v>40924</v>
      </c>
      <c r="P45" s="0" t="s">
        <v>260</v>
      </c>
      <c r="Q45" s="10" t="n">
        <v>27827</v>
      </c>
      <c r="R45" s="10"/>
      <c r="W45" s="0" t="s">
        <v>261</v>
      </c>
      <c r="Y45" s="0" t="s">
        <v>262</v>
      </c>
      <c r="Z45" s="0" t="s">
        <v>263</v>
      </c>
      <c r="AB45" s="13" t="n">
        <v>10</v>
      </c>
      <c r="AC45" s="13" t="n">
        <v>27</v>
      </c>
      <c r="AD45" s="13"/>
      <c r="AE45" s="13" t="s">
        <v>203</v>
      </c>
      <c r="AF45" s="13" t="n">
        <v>85</v>
      </c>
      <c r="AG45" s="13" t="n">
        <v>8</v>
      </c>
      <c r="AH45" s="13"/>
      <c r="AI45" s="13" t="s">
        <v>204</v>
      </c>
      <c r="AJ45" s="2" t="n">
        <f aca="false">IF((LEN(AB45)&gt;0),(AB45+AC45/60)*(IF(AE45="S",-1,1))," ")</f>
        <v>10.45</v>
      </c>
      <c r="AK45" s="2" t="n">
        <f aca="false">IF((LEN(AF45)&gt;0),(AF45+AG45/60)*IF(AI45="W",-1,1)," ")</f>
        <v>-85.1333333333333</v>
      </c>
      <c r="AM45" s="0" t="s">
        <v>63</v>
      </c>
      <c r="AN45" s="0" t="s">
        <v>264</v>
      </c>
      <c r="AP45" s="34"/>
    </row>
    <row r="46" customFormat="false" ht="12.75" hidden="false" customHeight="false" outlineLevel="0" collapsed="false">
      <c r="A46" s="0" t="s">
        <v>548</v>
      </c>
      <c r="B46" s="0" t="s">
        <v>266</v>
      </c>
      <c r="C46" s="0" t="s">
        <v>197</v>
      </c>
      <c r="D46" s="0" t="s">
        <v>198</v>
      </c>
      <c r="E46" s="0" t="s">
        <v>245</v>
      </c>
      <c r="G46" s="0" t="s">
        <v>58</v>
      </c>
      <c r="H46" s="0" t="s">
        <v>476</v>
      </c>
      <c r="K46" s="0" t="s">
        <v>477</v>
      </c>
      <c r="L46" s="0" t="s">
        <v>478</v>
      </c>
      <c r="N46" s="0" t="s">
        <v>226</v>
      </c>
      <c r="O46" s="10" t="n">
        <v>40924</v>
      </c>
      <c r="P46" s="0" t="s">
        <v>267</v>
      </c>
      <c r="Q46" s="10" t="n">
        <v>26339</v>
      </c>
      <c r="R46" s="10"/>
      <c r="W46" s="0" t="s">
        <v>268</v>
      </c>
      <c r="Y46" s="0" t="s">
        <v>262</v>
      </c>
      <c r="Z46" s="0" t="s">
        <v>263</v>
      </c>
      <c r="AB46" s="13"/>
      <c r="AC46" s="13"/>
      <c r="AD46" s="13"/>
      <c r="AE46" s="13"/>
      <c r="AF46" s="13"/>
      <c r="AG46" s="13"/>
      <c r="AH46" s="13"/>
      <c r="AI46" s="13"/>
      <c r="AJ46" s="2" t="str">
        <f aca="false">IF((LEN(AB46)&gt;0),(AB46+AC46/60)*(IF(AE46="S",-1,1))," ")</f>
        <v> </v>
      </c>
      <c r="AK46" s="2" t="str">
        <f aca="false">IF((LEN(AF46)&gt;0),(AF46+AG46/60)*IF(AI46="W",-1,1)," ")</f>
        <v> </v>
      </c>
      <c r="AM46" s="0" t="s">
        <v>63</v>
      </c>
      <c r="AN46" s="0" t="s">
        <v>269</v>
      </c>
      <c r="AP46" s="34"/>
    </row>
    <row r="47" customFormat="false" ht="12.75" hidden="false" customHeight="false" outlineLevel="0" collapsed="false">
      <c r="A47" s="0" t="s">
        <v>549</v>
      </c>
      <c r="B47" s="0" t="s">
        <v>270</v>
      </c>
      <c r="C47" s="0" t="s">
        <v>197</v>
      </c>
      <c r="D47" s="0" t="s">
        <v>198</v>
      </c>
      <c r="E47" s="0" t="s">
        <v>245</v>
      </c>
      <c r="G47" s="0" t="s">
        <v>58</v>
      </c>
      <c r="H47" s="0" t="s">
        <v>476</v>
      </c>
      <c r="K47" s="0" t="s">
        <v>477</v>
      </c>
      <c r="L47" s="0" t="s">
        <v>478</v>
      </c>
      <c r="N47" s="0" t="s">
        <v>226</v>
      </c>
      <c r="O47" s="10" t="n">
        <v>40924</v>
      </c>
      <c r="P47" s="0" t="s">
        <v>267</v>
      </c>
      <c r="Q47" s="10" t="n">
        <v>26339</v>
      </c>
      <c r="R47" s="10"/>
      <c r="W47" s="0" t="s">
        <v>268</v>
      </c>
      <c r="Y47" s="0" t="s">
        <v>262</v>
      </c>
      <c r="Z47" s="0" t="s">
        <v>263</v>
      </c>
      <c r="AB47" s="13"/>
      <c r="AC47" s="13"/>
      <c r="AD47" s="13"/>
      <c r="AE47" s="13"/>
      <c r="AF47" s="13"/>
      <c r="AG47" s="13"/>
      <c r="AH47" s="13"/>
      <c r="AI47" s="13"/>
      <c r="AJ47" s="2" t="str">
        <f aca="false">IF((LEN(AB47)&gt;0),(AB47+AC47/60)*(IF(AE47="S",-1,1))," ")</f>
        <v> </v>
      </c>
      <c r="AK47" s="2" t="str">
        <f aca="false">IF((LEN(AF47)&gt;0),(AF47+AG47/60)*IF(AI47="W",-1,1)," ")</f>
        <v> </v>
      </c>
      <c r="AM47" s="0" t="s">
        <v>63</v>
      </c>
      <c r="AN47" s="0" t="s">
        <v>269</v>
      </c>
      <c r="AP47" s="34"/>
    </row>
    <row r="48" customFormat="false" ht="12.75" hidden="false" customHeight="false" outlineLevel="0" collapsed="false">
      <c r="A48" s="0" t="s">
        <v>550</v>
      </c>
      <c r="B48" s="0" t="s">
        <v>271</v>
      </c>
      <c r="C48" s="0" t="s">
        <v>197</v>
      </c>
      <c r="D48" s="0" t="s">
        <v>198</v>
      </c>
      <c r="E48" s="0" t="s">
        <v>245</v>
      </c>
      <c r="G48" s="0" t="s">
        <v>225</v>
      </c>
      <c r="H48" s="0" t="s">
        <v>476</v>
      </c>
      <c r="K48" s="0" t="s">
        <v>477</v>
      </c>
      <c r="L48" s="0" t="s">
        <v>478</v>
      </c>
      <c r="N48" s="0" t="s">
        <v>226</v>
      </c>
      <c r="O48" s="10" t="n">
        <v>40924</v>
      </c>
      <c r="P48" s="0" t="s">
        <v>272</v>
      </c>
      <c r="Q48" s="10" t="n">
        <v>31382</v>
      </c>
      <c r="R48" s="10"/>
      <c r="U48" s="0" t="s">
        <v>227</v>
      </c>
      <c r="W48" s="0" t="s">
        <v>273</v>
      </c>
      <c r="Y48" s="0" t="s">
        <v>262</v>
      </c>
      <c r="Z48" s="0" t="s">
        <v>263</v>
      </c>
      <c r="AB48" s="13" t="n">
        <v>10</v>
      </c>
      <c r="AC48" s="13" t="n">
        <v>21</v>
      </c>
      <c r="AD48" s="13"/>
      <c r="AE48" s="13" t="s">
        <v>203</v>
      </c>
      <c r="AF48" s="13" t="n">
        <v>85</v>
      </c>
      <c r="AG48" s="13" t="n">
        <v>21</v>
      </c>
      <c r="AH48" s="13"/>
      <c r="AI48" s="13" t="s">
        <v>204</v>
      </c>
      <c r="AJ48" s="2" t="n">
        <f aca="false">IF((LEN(AB48)&gt;0),(AB48+AC48/60)*(IF(AE48="S",-1,1))," ")</f>
        <v>10.35</v>
      </c>
      <c r="AK48" s="2" t="n">
        <f aca="false">IF((LEN(AF48)&gt;0),(AF48+AG48/60)*IF(AI48="W",-1,1)," ")</f>
        <v>-85.35</v>
      </c>
      <c r="AM48" s="0" t="s">
        <v>63</v>
      </c>
      <c r="AN48" s="0" t="s">
        <v>205</v>
      </c>
      <c r="AP48" s="34"/>
    </row>
    <row r="49" customFormat="false" ht="12.75" hidden="false" customHeight="false" outlineLevel="0" collapsed="false">
      <c r="A49" s="0" t="s">
        <v>551</v>
      </c>
      <c r="B49" s="0" t="s">
        <v>274</v>
      </c>
      <c r="C49" s="0" t="s">
        <v>197</v>
      </c>
      <c r="D49" s="0" t="s">
        <v>198</v>
      </c>
      <c r="E49" s="0" t="s">
        <v>245</v>
      </c>
      <c r="G49" s="0" t="s">
        <v>132</v>
      </c>
      <c r="H49" s="0" t="s">
        <v>476</v>
      </c>
      <c r="K49" s="0" t="s">
        <v>477</v>
      </c>
      <c r="L49" s="0" t="s">
        <v>478</v>
      </c>
      <c r="N49" s="0" t="s">
        <v>226</v>
      </c>
      <c r="O49" s="10" t="n">
        <v>40924</v>
      </c>
      <c r="P49" s="0" t="s">
        <v>226</v>
      </c>
      <c r="Q49" s="10" t="n">
        <v>29003</v>
      </c>
      <c r="R49" s="10" t="n">
        <v>29005</v>
      </c>
      <c r="T49" s="0" t="s">
        <v>275</v>
      </c>
      <c r="U49" s="0" t="s">
        <v>227</v>
      </c>
      <c r="V49" s="0" t="s">
        <v>276</v>
      </c>
      <c r="W49" s="0" t="s">
        <v>277</v>
      </c>
      <c r="Y49" s="0" t="s">
        <v>262</v>
      </c>
      <c r="Z49" s="0" t="s">
        <v>263</v>
      </c>
      <c r="AA49" s="0" t="s">
        <v>278</v>
      </c>
      <c r="AB49" s="13" t="n">
        <v>10</v>
      </c>
      <c r="AC49" s="13" t="n">
        <v>27</v>
      </c>
      <c r="AD49" s="13"/>
      <c r="AE49" s="13" t="s">
        <v>203</v>
      </c>
      <c r="AF49" s="13" t="n">
        <v>85</v>
      </c>
      <c r="AG49" s="13" t="n">
        <v>8</v>
      </c>
      <c r="AH49" s="13"/>
      <c r="AI49" s="13" t="s">
        <v>204</v>
      </c>
      <c r="AJ49" s="2" t="n">
        <f aca="false">IF((LEN(AB49)&gt;0),(AB49+AC49/60)*(IF(AE49="S",-1,1))," ")</f>
        <v>10.45</v>
      </c>
      <c r="AK49" s="2" t="n">
        <f aca="false">IF((LEN(AF49)&gt;0),(AF49+AG49/60)*IF(AI49="W",-1,1)," ")</f>
        <v>-85.1333333333333</v>
      </c>
      <c r="AL49" s="0" t="s">
        <v>231</v>
      </c>
      <c r="AM49" s="0" t="s">
        <v>63</v>
      </c>
      <c r="AN49" s="0" t="s">
        <v>279</v>
      </c>
      <c r="AP49" s="34"/>
    </row>
    <row r="50" customFormat="false" ht="12.75" hidden="false" customHeight="false" outlineLevel="0" collapsed="false">
      <c r="A50" s="0" t="s">
        <v>552</v>
      </c>
      <c r="B50" s="0" t="s">
        <v>280</v>
      </c>
      <c r="C50" s="0" t="s">
        <v>197</v>
      </c>
      <c r="D50" s="0" t="s">
        <v>198</v>
      </c>
      <c r="E50" s="0" t="s">
        <v>245</v>
      </c>
      <c r="G50" s="0" t="s">
        <v>101</v>
      </c>
      <c r="H50" s="0" t="s">
        <v>476</v>
      </c>
      <c r="K50" s="0" t="s">
        <v>477</v>
      </c>
      <c r="L50" s="0" t="s">
        <v>478</v>
      </c>
      <c r="N50" s="0" t="s">
        <v>226</v>
      </c>
      <c r="O50" s="10" t="n">
        <v>40924</v>
      </c>
      <c r="P50" s="0" t="s">
        <v>226</v>
      </c>
      <c r="Q50" s="10" t="n">
        <v>30664</v>
      </c>
      <c r="R50" s="10"/>
      <c r="T50" s="0" t="s">
        <v>106</v>
      </c>
      <c r="U50" s="0" t="s">
        <v>281</v>
      </c>
      <c r="V50" s="0" t="s">
        <v>282</v>
      </c>
      <c r="W50" s="0" t="s">
        <v>283</v>
      </c>
      <c r="Y50" s="0" t="s">
        <v>262</v>
      </c>
      <c r="Z50" s="0" t="s">
        <v>263</v>
      </c>
      <c r="AA50" s="0" t="s">
        <v>284</v>
      </c>
      <c r="AB50" s="13" t="n">
        <v>10</v>
      </c>
      <c r="AC50" s="13" t="n">
        <v>51</v>
      </c>
      <c r="AD50" s="13"/>
      <c r="AE50" s="13" t="s">
        <v>203</v>
      </c>
      <c r="AF50" s="13" t="n">
        <v>85</v>
      </c>
      <c r="AG50" s="13" t="n">
        <v>37</v>
      </c>
      <c r="AH50" s="13"/>
      <c r="AI50" s="13" t="s">
        <v>204</v>
      </c>
      <c r="AJ50" s="2" t="n">
        <f aca="false">IF((LEN(AB50)&gt;0),(AB50+AC50/60)*(IF(AE50="S",-1,1))," ")</f>
        <v>10.85</v>
      </c>
      <c r="AK50" s="2" t="n">
        <f aca="false">IF((LEN(AF50)&gt;0),(AF50+AG50/60)*IF(AI50="W",-1,1)," ")</f>
        <v>-85.6166666666667</v>
      </c>
      <c r="AL50" s="0" t="s">
        <v>231</v>
      </c>
      <c r="AM50" s="0" t="s">
        <v>63</v>
      </c>
      <c r="AN50" s="0" t="s">
        <v>285</v>
      </c>
      <c r="AP50" s="34"/>
    </row>
    <row r="51" customFormat="false" ht="12.75" hidden="false" customHeight="false" outlineLevel="0" collapsed="false">
      <c r="A51" s="0" t="s">
        <v>553</v>
      </c>
      <c r="B51" s="0" t="s">
        <v>286</v>
      </c>
      <c r="C51" s="0" t="s">
        <v>197</v>
      </c>
      <c r="D51" s="0" t="s">
        <v>198</v>
      </c>
      <c r="E51" s="0" t="s">
        <v>245</v>
      </c>
      <c r="G51" s="0" t="s">
        <v>225</v>
      </c>
      <c r="H51" s="0" t="s">
        <v>476</v>
      </c>
      <c r="K51" s="0" t="s">
        <v>477</v>
      </c>
      <c r="L51" s="0" t="s">
        <v>478</v>
      </c>
      <c r="N51" s="0" t="s">
        <v>226</v>
      </c>
      <c r="O51" s="10" t="n">
        <v>40924</v>
      </c>
      <c r="P51" s="0" t="s">
        <v>226</v>
      </c>
      <c r="Q51" s="10" t="n">
        <v>30665</v>
      </c>
      <c r="R51" s="10"/>
      <c r="T51" s="0" t="s">
        <v>287</v>
      </c>
      <c r="U51" s="0" t="s">
        <v>281</v>
      </c>
      <c r="V51" s="0" t="s">
        <v>288</v>
      </c>
      <c r="W51" s="0" t="s">
        <v>283</v>
      </c>
      <c r="Y51" s="0" t="s">
        <v>262</v>
      </c>
      <c r="Z51" s="0" t="s">
        <v>263</v>
      </c>
      <c r="AA51" s="0" t="s">
        <v>289</v>
      </c>
      <c r="AB51" s="13" t="n">
        <v>10</v>
      </c>
      <c r="AC51" s="13" t="n">
        <v>47</v>
      </c>
      <c r="AD51" s="13"/>
      <c r="AE51" s="13" t="s">
        <v>203</v>
      </c>
      <c r="AF51" s="13" t="n">
        <v>85</v>
      </c>
      <c r="AG51" s="13" t="n">
        <v>40</v>
      </c>
      <c r="AH51" s="13"/>
      <c r="AI51" s="13" t="s">
        <v>204</v>
      </c>
      <c r="AJ51" s="2" t="n">
        <f aca="false">IF((LEN(AB51)&gt;0),(AB51+AC51/60)*(IF(AE51="S",-1,1))," ")</f>
        <v>10.7833333333333</v>
      </c>
      <c r="AK51" s="2" t="n">
        <f aca="false">IF((LEN(AF51)&gt;0),(AF51+AG51/60)*IF(AI51="W",-1,1)," ")</f>
        <v>-85.6666666666667</v>
      </c>
      <c r="AL51" s="0" t="s">
        <v>231</v>
      </c>
      <c r="AM51" s="0" t="s">
        <v>63</v>
      </c>
      <c r="AN51" s="0" t="s">
        <v>290</v>
      </c>
      <c r="AP51" s="34"/>
    </row>
    <row r="52" customFormat="false" ht="12.75" hidden="false" customHeight="false" outlineLevel="0" collapsed="false">
      <c r="A52" s="0" t="s">
        <v>554</v>
      </c>
      <c r="B52" s="0" t="s">
        <v>291</v>
      </c>
      <c r="C52" s="0" t="s">
        <v>197</v>
      </c>
      <c r="D52" s="0" t="s">
        <v>198</v>
      </c>
      <c r="E52" s="0" t="s">
        <v>245</v>
      </c>
      <c r="G52" s="0" t="s">
        <v>225</v>
      </c>
      <c r="H52" s="0" t="s">
        <v>476</v>
      </c>
      <c r="K52" s="0" t="s">
        <v>477</v>
      </c>
      <c r="L52" s="0" t="s">
        <v>478</v>
      </c>
      <c r="N52" s="0" t="s">
        <v>226</v>
      </c>
      <c r="O52" s="10" t="n">
        <v>40924</v>
      </c>
      <c r="P52" s="0" t="s">
        <v>226</v>
      </c>
      <c r="Q52" s="10" t="n">
        <v>31257</v>
      </c>
      <c r="R52" s="10"/>
      <c r="T52" s="0" t="s">
        <v>292</v>
      </c>
      <c r="U52" s="0" t="s">
        <v>227</v>
      </c>
      <c r="V52" s="0" t="s">
        <v>293</v>
      </c>
      <c r="W52" s="0" t="s">
        <v>294</v>
      </c>
      <c r="Y52" s="0" t="s">
        <v>295</v>
      </c>
      <c r="Z52" s="0" t="s">
        <v>263</v>
      </c>
      <c r="AA52" s="0" t="s">
        <v>230</v>
      </c>
      <c r="AB52" s="13" t="n">
        <v>9</v>
      </c>
      <c r="AC52" s="13" t="n">
        <v>46</v>
      </c>
      <c r="AD52" s="13"/>
      <c r="AE52" s="13" t="s">
        <v>203</v>
      </c>
      <c r="AF52" s="13" t="n">
        <v>84</v>
      </c>
      <c r="AG52" s="13" t="n">
        <v>37</v>
      </c>
      <c r="AH52" s="13"/>
      <c r="AI52" s="13" t="s">
        <v>204</v>
      </c>
      <c r="AJ52" s="2" t="n">
        <f aca="false">IF((LEN(AB52)&gt;0),(AB52+AC52/60)*(IF(AE52="S",-1,1))," ")</f>
        <v>9.76666666666667</v>
      </c>
      <c r="AK52" s="2" t="n">
        <f aca="false">IF((LEN(AF52)&gt;0),(AF52+AG52/60)*IF(AI52="W",-1,1)," ")</f>
        <v>-84.6166666666667</v>
      </c>
      <c r="AL52" s="0" t="s">
        <v>231</v>
      </c>
      <c r="AM52" s="0" t="s">
        <v>63</v>
      </c>
      <c r="AN52" s="0" t="s">
        <v>296</v>
      </c>
      <c r="AP52" s="34"/>
    </row>
    <row r="53" customFormat="false" ht="12.75" hidden="false" customHeight="false" outlineLevel="0" collapsed="false">
      <c r="A53" s="0" t="s">
        <v>555</v>
      </c>
      <c r="B53" s="0" t="s">
        <v>297</v>
      </c>
      <c r="C53" s="0" t="s">
        <v>197</v>
      </c>
      <c r="D53" s="0" t="s">
        <v>198</v>
      </c>
      <c r="E53" s="0" t="s">
        <v>245</v>
      </c>
      <c r="G53" s="0" t="s">
        <v>93</v>
      </c>
      <c r="H53" s="0" t="s">
        <v>476</v>
      </c>
      <c r="K53" s="0" t="s">
        <v>477</v>
      </c>
      <c r="L53" s="0" t="s">
        <v>478</v>
      </c>
      <c r="N53" s="0" t="s">
        <v>226</v>
      </c>
      <c r="O53" s="10" t="n">
        <v>40924</v>
      </c>
      <c r="P53" s="0" t="s">
        <v>214</v>
      </c>
      <c r="Q53" s="10" t="n">
        <v>33835</v>
      </c>
      <c r="R53" s="10"/>
      <c r="S53" s="0" t="s">
        <v>84</v>
      </c>
      <c r="W53" s="0" t="s">
        <v>298</v>
      </c>
      <c r="Y53" s="0" t="s">
        <v>262</v>
      </c>
      <c r="Z53" s="0" t="s">
        <v>263</v>
      </c>
      <c r="AB53" s="14" t="n">
        <v>10</v>
      </c>
      <c r="AC53" s="14" t="n">
        <v>26</v>
      </c>
      <c r="AD53" s="14"/>
      <c r="AE53" s="14" t="s">
        <v>203</v>
      </c>
      <c r="AF53" s="14" t="n">
        <v>85</v>
      </c>
      <c r="AG53" s="14" t="n">
        <v>6</v>
      </c>
      <c r="AH53" s="14"/>
      <c r="AI53" s="14" t="s">
        <v>204</v>
      </c>
      <c r="AJ53" s="2" t="n">
        <f aca="false">IF((LEN(AB53)&gt;0),(AB53+AC53/60)*(IF(AE53="S",-1,1))," ")</f>
        <v>10.4333333333333</v>
      </c>
      <c r="AK53" s="2" t="n">
        <f aca="false">IF((LEN(AF53)&gt;0),(AF53+AG53/60)*IF(AI53="W",-1,1)," ")</f>
        <v>-85.1</v>
      </c>
      <c r="AM53" s="0" t="s">
        <v>63</v>
      </c>
      <c r="AN53" s="0" t="s">
        <v>205</v>
      </c>
      <c r="AP53" s="34"/>
    </row>
    <row r="54" customFormat="false" ht="12.75" hidden="false" customHeight="false" outlineLevel="0" collapsed="false">
      <c r="A54" s="0" t="s">
        <v>556</v>
      </c>
      <c r="B54" s="0" t="s">
        <v>299</v>
      </c>
      <c r="C54" s="0" t="s">
        <v>197</v>
      </c>
      <c r="D54" s="0" t="s">
        <v>198</v>
      </c>
      <c r="E54" s="0" t="s">
        <v>245</v>
      </c>
      <c r="G54" s="0" t="s">
        <v>35</v>
      </c>
      <c r="H54" s="0" t="s">
        <v>476</v>
      </c>
      <c r="K54" s="0" t="s">
        <v>477</v>
      </c>
      <c r="L54" s="0" t="s">
        <v>478</v>
      </c>
      <c r="N54" s="0" t="s">
        <v>226</v>
      </c>
      <c r="O54" s="10" t="n">
        <v>40924</v>
      </c>
      <c r="P54" s="0" t="s">
        <v>226</v>
      </c>
      <c r="Q54" s="10" t="n">
        <v>37939</v>
      </c>
      <c r="R54" s="10"/>
      <c r="T54" s="0" t="s">
        <v>300</v>
      </c>
      <c r="U54" s="0" t="s">
        <v>227</v>
      </c>
      <c r="V54" s="0" t="s">
        <v>301</v>
      </c>
      <c r="W54" s="0" t="s">
        <v>302</v>
      </c>
      <c r="Y54" s="0" t="s">
        <v>303</v>
      </c>
      <c r="Z54" s="0" t="s">
        <v>237</v>
      </c>
      <c r="AA54" s="0" t="s">
        <v>304</v>
      </c>
      <c r="AB54" s="13" t="n">
        <v>14</v>
      </c>
      <c r="AC54" s="13" t="n">
        <v>14</v>
      </c>
      <c r="AD54" s="13"/>
      <c r="AE54" s="13" t="s">
        <v>203</v>
      </c>
      <c r="AF54" s="13" t="n">
        <v>90</v>
      </c>
      <c r="AG54" s="13" t="n">
        <v>20</v>
      </c>
      <c r="AH54" s="13"/>
      <c r="AI54" s="13" t="s">
        <v>204</v>
      </c>
      <c r="AJ54" s="2" t="n">
        <f aca="false">IF((LEN(AB54)&gt;0),(AB54+AC54/60)*(IF(AE54="S",-1,1))," ")</f>
        <v>14.2333333333333</v>
      </c>
      <c r="AK54" s="2" t="n">
        <f aca="false">IF((LEN(AF54)&gt;0),(AF54+AG54/60)*IF(AI54="W",-1,1)," ")</f>
        <v>-90.3333333333333</v>
      </c>
      <c r="AL54" s="0" t="s">
        <v>231</v>
      </c>
      <c r="AM54" s="0" t="s">
        <v>63</v>
      </c>
      <c r="AN54" s="0" t="s">
        <v>305</v>
      </c>
      <c r="AP54" s="34"/>
    </row>
    <row r="55" customFormat="false" ht="12.75" hidden="false" customHeight="false" outlineLevel="0" collapsed="false">
      <c r="A55" s="0" t="s">
        <v>557</v>
      </c>
      <c r="B55" s="0" t="s">
        <v>306</v>
      </c>
      <c r="C55" s="0" t="s">
        <v>197</v>
      </c>
      <c r="D55" s="0" t="s">
        <v>198</v>
      </c>
      <c r="E55" s="0" t="s">
        <v>245</v>
      </c>
      <c r="G55" s="0" t="s">
        <v>307</v>
      </c>
      <c r="H55" s="0" t="s">
        <v>476</v>
      </c>
      <c r="K55" s="0" t="s">
        <v>477</v>
      </c>
      <c r="L55" s="0" t="s">
        <v>478</v>
      </c>
      <c r="N55" s="0" t="s">
        <v>226</v>
      </c>
      <c r="O55" s="10" t="n">
        <v>40924</v>
      </c>
      <c r="P55" s="0" t="s">
        <v>308</v>
      </c>
      <c r="Q55" s="10" t="n">
        <v>35900</v>
      </c>
      <c r="R55" s="10"/>
      <c r="S55" s="0" t="s">
        <v>84</v>
      </c>
      <c r="W55" s="0" t="s">
        <v>309</v>
      </c>
      <c r="Y55" s="0" t="s">
        <v>310</v>
      </c>
      <c r="Z55" s="0" t="s">
        <v>311</v>
      </c>
      <c r="AB55" s="13" t="n">
        <v>11</v>
      </c>
      <c r="AC55" s="13" t="n">
        <v>29</v>
      </c>
      <c r="AD55" s="13"/>
      <c r="AE55" s="13" t="s">
        <v>203</v>
      </c>
      <c r="AF55" s="13" t="n">
        <v>85</v>
      </c>
      <c r="AG55" s="13" t="n">
        <v>39</v>
      </c>
      <c r="AH55" s="13"/>
      <c r="AI55" s="13" t="s">
        <v>204</v>
      </c>
      <c r="AJ55" s="2" t="n">
        <f aca="false">IF((LEN(AB55)&gt;0),(AB55+AC55/60)*(IF(AE55="S",-1,1))," ")</f>
        <v>11.4833333333333</v>
      </c>
      <c r="AK55" s="2" t="n">
        <f aca="false">IF((LEN(AF55)&gt;0),(AF55+AG55/60)*IF(AI55="W",-1,1)," ")</f>
        <v>-85.65</v>
      </c>
      <c r="AM55" s="0" t="s">
        <v>63</v>
      </c>
      <c r="AN55" s="0" t="s">
        <v>205</v>
      </c>
      <c r="AP55" s="34"/>
    </row>
    <row r="56" customFormat="false" ht="12.75" hidden="false" customHeight="false" outlineLevel="0" collapsed="false">
      <c r="A56" s="0" t="s">
        <v>558</v>
      </c>
      <c r="B56" s="0" t="s">
        <v>312</v>
      </c>
      <c r="C56" s="0" t="s">
        <v>313</v>
      </c>
      <c r="D56" s="0" t="s">
        <v>314</v>
      </c>
      <c r="E56" s="12" t="s">
        <v>315</v>
      </c>
      <c r="F56" s="12"/>
      <c r="G56" s="0" t="s">
        <v>58</v>
      </c>
      <c r="H56" s="0" t="s">
        <v>476</v>
      </c>
      <c r="K56" s="0" t="s">
        <v>509</v>
      </c>
      <c r="L56" s="0" t="s">
        <v>509</v>
      </c>
      <c r="O56" s="10"/>
      <c r="P56" s="0" t="s">
        <v>316</v>
      </c>
      <c r="Q56" s="10" t="n">
        <v>39580</v>
      </c>
      <c r="R56" s="10"/>
      <c r="T56" s="0" t="s">
        <v>317</v>
      </c>
      <c r="U56" s="0" t="s">
        <v>318</v>
      </c>
      <c r="W56" s="0" t="s">
        <v>319</v>
      </c>
      <c r="Y56" s="0" t="s">
        <v>320</v>
      </c>
      <c r="Z56" s="0" t="s">
        <v>195</v>
      </c>
      <c r="AA56" s="0" t="s">
        <v>321</v>
      </c>
      <c r="AJ56" s="2" t="n">
        <v>16.1522</v>
      </c>
      <c r="AK56" s="2" t="n">
        <v>-93.6007</v>
      </c>
      <c r="AM56" s="0" t="s">
        <v>63</v>
      </c>
      <c r="AP56" s="34"/>
    </row>
    <row r="57" customFormat="false" ht="12.75" hidden="false" customHeight="false" outlineLevel="0" collapsed="false">
      <c r="A57" s="0" t="s">
        <v>559</v>
      </c>
      <c r="B57" s="0" t="s">
        <v>322</v>
      </c>
      <c r="C57" s="0" t="s">
        <v>32</v>
      </c>
      <c r="D57" s="0" t="s">
        <v>323</v>
      </c>
      <c r="E57" s="0" t="s">
        <v>324</v>
      </c>
      <c r="G57" s="0" t="s">
        <v>58</v>
      </c>
      <c r="H57" s="0" t="s">
        <v>476</v>
      </c>
      <c r="K57" s="0" t="s">
        <v>486</v>
      </c>
      <c r="L57" s="0" t="s">
        <v>487</v>
      </c>
      <c r="O57" s="10"/>
      <c r="P57" s="0" t="s">
        <v>325</v>
      </c>
      <c r="Q57" s="10" t="n">
        <v>40805</v>
      </c>
      <c r="R57" s="10"/>
      <c r="T57" s="0" t="s">
        <v>326</v>
      </c>
      <c r="U57" s="0" t="s">
        <v>327</v>
      </c>
      <c r="Y57" s="0" t="s">
        <v>328</v>
      </c>
      <c r="Z57" s="0" t="s">
        <v>329</v>
      </c>
      <c r="AA57" s="0" t="s">
        <v>330</v>
      </c>
      <c r="AJ57" s="2" t="n">
        <v>20.2419</v>
      </c>
      <c r="AK57" s="2" t="n">
        <v>41.26287</v>
      </c>
      <c r="AM57" s="0" t="s">
        <v>331</v>
      </c>
      <c r="AP57" s="34"/>
      <c r="AW57" s="11"/>
      <c r="AX57" s="11"/>
      <c r="BQ57" s="11"/>
      <c r="BR57" s="11"/>
    </row>
    <row r="58" customFormat="false" ht="12.75" hidden="false" customHeight="false" outlineLevel="0" collapsed="false">
      <c r="A58" s="0" t="s">
        <v>560</v>
      </c>
      <c r="B58" s="0" t="s">
        <v>322</v>
      </c>
      <c r="C58" s="0" t="s">
        <v>32</v>
      </c>
      <c r="D58" s="0" t="s">
        <v>323</v>
      </c>
      <c r="E58" s="0" t="s">
        <v>324</v>
      </c>
      <c r="G58" s="0" t="s">
        <v>58</v>
      </c>
      <c r="H58" s="0" t="s">
        <v>518</v>
      </c>
      <c r="J58" s="0" t="s">
        <v>561</v>
      </c>
      <c r="K58" s="0" t="s">
        <v>486</v>
      </c>
      <c r="L58" s="0" t="s">
        <v>487</v>
      </c>
      <c r="O58" s="10"/>
      <c r="P58" s="0" t="s">
        <v>325</v>
      </c>
      <c r="Q58" s="10" t="n">
        <v>40805</v>
      </c>
      <c r="R58" s="10"/>
      <c r="T58" s="0" t="s">
        <v>326</v>
      </c>
      <c r="U58" s="0" t="s">
        <v>327</v>
      </c>
      <c r="Y58" s="0" t="s">
        <v>328</v>
      </c>
      <c r="Z58" s="0" t="s">
        <v>329</v>
      </c>
      <c r="AA58" s="0" t="s">
        <v>330</v>
      </c>
      <c r="AJ58" s="2" t="n">
        <v>20.2419</v>
      </c>
      <c r="AK58" s="2" t="n">
        <v>41.26287</v>
      </c>
      <c r="AM58" s="0" t="s">
        <v>331</v>
      </c>
      <c r="AP58" s="34"/>
      <c r="AW58" s="11"/>
      <c r="AX58" s="11"/>
      <c r="BQ58" s="11"/>
      <c r="BR58" s="11"/>
    </row>
    <row r="59" customFormat="false" ht="12.75" hidden="false" customHeight="false" outlineLevel="0" collapsed="false">
      <c r="A59" s="0" t="s">
        <v>562</v>
      </c>
      <c r="B59" s="0" t="s">
        <v>322</v>
      </c>
      <c r="C59" s="0" t="s">
        <v>46</v>
      </c>
      <c r="D59" s="0" t="s">
        <v>170</v>
      </c>
      <c r="E59" s="0" t="s">
        <v>332</v>
      </c>
      <c r="G59" s="0" t="s">
        <v>58</v>
      </c>
      <c r="H59" s="0" t="s">
        <v>476</v>
      </c>
      <c r="K59" s="0" t="s">
        <v>486</v>
      </c>
      <c r="L59" s="0" t="s">
        <v>487</v>
      </c>
      <c r="O59" s="10"/>
      <c r="P59" s="0" t="s">
        <v>325</v>
      </c>
      <c r="Q59" s="10" t="n">
        <v>40805</v>
      </c>
      <c r="R59" s="10"/>
      <c r="T59" s="0" t="s">
        <v>326</v>
      </c>
      <c r="U59" s="0" t="s">
        <v>327</v>
      </c>
      <c r="Y59" s="0" t="s">
        <v>328</v>
      </c>
      <c r="Z59" s="0" t="s">
        <v>329</v>
      </c>
      <c r="AA59" s="0" t="s">
        <v>330</v>
      </c>
      <c r="AJ59" s="2" t="n">
        <v>20.2419</v>
      </c>
      <c r="AK59" s="2" t="n">
        <v>41.26287</v>
      </c>
      <c r="AM59" s="0" t="s">
        <v>331</v>
      </c>
      <c r="AP59" s="34"/>
      <c r="AW59" s="11"/>
      <c r="AX59" s="11"/>
      <c r="BQ59" s="11"/>
    </row>
    <row r="60" customFormat="false" ht="12.75" hidden="false" customHeight="false" outlineLevel="0" collapsed="false">
      <c r="A60" s="0" t="s">
        <v>563</v>
      </c>
      <c r="B60" s="0" t="s">
        <v>322</v>
      </c>
      <c r="C60" s="0" t="s">
        <v>46</v>
      </c>
      <c r="D60" s="0" t="s">
        <v>170</v>
      </c>
      <c r="E60" s="0" t="s">
        <v>332</v>
      </c>
      <c r="G60" s="0" t="s">
        <v>58</v>
      </c>
      <c r="H60" s="0" t="s">
        <v>518</v>
      </c>
      <c r="J60" s="0" t="s">
        <v>564</v>
      </c>
      <c r="K60" s="0" t="s">
        <v>486</v>
      </c>
      <c r="L60" s="0" t="s">
        <v>487</v>
      </c>
      <c r="O60" s="10"/>
      <c r="P60" s="0" t="s">
        <v>325</v>
      </c>
      <c r="Q60" s="10" t="n">
        <v>40805</v>
      </c>
      <c r="R60" s="10"/>
      <c r="T60" s="0" t="s">
        <v>326</v>
      </c>
      <c r="U60" s="0" t="s">
        <v>327</v>
      </c>
      <c r="Y60" s="0" t="s">
        <v>328</v>
      </c>
      <c r="Z60" s="0" t="s">
        <v>329</v>
      </c>
      <c r="AA60" s="0" t="s">
        <v>330</v>
      </c>
      <c r="AJ60" s="2" t="n">
        <v>20.2419</v>
      </c>
      <c r="AK60" s="2" t="n">
        <v>41.26287</v>
      </c>
      <c r="AM60" s="0" t="s">
        <v>331</v>
      </c>
      <c r="AP60" s="34"/>
      <c r="AW60" s="11"/>
      <c r="AX60" s="11"/>
      <c r="BQ60" s="11"/>
    </row>
    <row r="61" customFormat="false" ht="12.75" hidden="false" customHeight="false" outlineLevel="0" collapsed="false">
      <c r="A61" s="0" t="s">
        <v>565</v>
      </c>
      <c r="B61" s="0" t="s">
        <v>333</v>
      </c>
      <c r="C61" s="0" t="s">
        <v>46</v>
      </c>
      <c r="D61" s="0" t="s">
        <v>124</v>
      </c>
      <c r="E61" s="0" t="s">
        <v>334</v>
      </c>
      <c r="G61" s="0" t="s">
        <v>58</v>
      </c>
      <c r="H61" s="0" t="s">
        <v>476</v>
      </c>
      <c r="K61" s="0" t="s">
        <v>486</v>
      </c>
      <c r="L61" s="0" t="s">
        <v>487</v>
      </c>
      <c r="O61" s="10" t="n">
        <v>38055</v>
      </c>
      <c r="P61" s="0" t="s">
        <v>335</v>
      </c>
      <c r="Q61" s="10" t="n">
        <v>37662</v>
      </c>
      <c r="R61" s="10" t="n">
        <v>37665</v>
      </c>
      <c r="S61" s="0" t="s">
        <v>336</v>
      </c>
      <c r="T61" s="0" t="s">
        <v>337</v>
      </c>
      <c r="W61" s="0" t="s">
        <v>338</v>
      </c>
      <c r="Y61" s="0" t="s">
        <v>339</v>
      </c>
      <c r="Z61" s="0" t="s">
        <v>77</v>
      </c>
      <c r="AA61" s="0" t="s">
        <v>340</v>
      </c>
      <c r="AJ61" s="2" t="n">
        <v>-22.31333</v>
      </c>
      <c r="AK61" s="2" t="n">
        <v>45.29167</v>
      </c>
      <c r="AM61" s="0" t="s">
        <v>79</v>
      </c>
      <c r="AP61" s="34"/>
      <c r="AW61" s="11"/>
      <c r="AX61" s="11"/>
      <c r="BQ61" s="11"/>
      <c r="BR61" s="11"/>
    </row>
    <row r="62" customFormat="false" ht="12.75" hidden="false" customHeight="false" outlineLevel="0" collapsed="false">
      <c r="A62" s="0" t="s">
        <v>566</v>
      </c>
      <c r="B62" s="0" t="s">
        <v>333</v>
      </c>
      <c r="C62" s="0" t="s">
        <v>46</v>
      </c>
      <c r="D62" s="0" t="s">
        <v>47</v>
      </c>
      <c r="E62" s="0" t="s">
        <v>341</v>
      </c>
      <c r="G62" s="0" t="s">
        <v>35</v>
      </c>
      <c r="H62" s="0" t="s">
        <v>476</v>
      </c>
      <c r="K62" s="0" t="s">
        <v>486</v>
      </c>
      <c r="L62" s="0" t="s">
        <v>487</v>
      </c>
      <c r="O62" s="34" t="s">
        <v>501</v>
      </c>
      <c r="P62" s="0" t="s">
        <v>335</v>
      </c>
      <c r="Q62" s="10" t="n">
        <v>37662</v>
      </c>
      <c r="R62" s="10" t="n">
        <v>37665</v>
      </c>
      <c r="S62" s="0" t="s">
        <v>336</v>
      </c>
      <c r="T62" s="0" t="s">
        <v>337</v>
      </c>
      <c r="W62" s="0" t="s">
        <v>338</v>
      </c>
      <c r="Y62" s="0" t="s">
        <v>339</v>
      </c>
      <c r="Z62" s="0" t="s">
        <v>77</v>
      </c>
      <c r="AA62" s="0" t="s">
        <v>340</v>
      </c>
      <c r="AJ62" s="2" t="n">
        <v>-22.31333</v>
      </c>
      <c r="AK62" s="2" t="n">
        <v>45.29167</v>
      </c>
      <c r="AM62" s="0" t="s">
        <v>79</v>
      </c>
      <c r="AP62" s="34"/>
      <c r="AW62" s="11"/>
      <c r="AX62" s="11"/>
      <c r="BQ62" s="11"/>
      <c r="BR62" s="11"/>
    </row>
    <row r="63" customFormat="false" ht="13.5" hidden="false" customHeight="true" outlineLevel="0" collapsed="false">
      <c r="A63" s="35" t="s">
        <v>567</v>
      </c>
      <c r="B63" s="0" t="s">
        <v>342</v>
      </c>
      <c r="C63" s="0" t="s">
        <v>55</v>
      </c>
      <c r="D63" s="0" t="s">
        <v>343</v>
      </c>
      <c r="E63" s="0" t="s">
        <v>344</v>
      </c>
      <c r="G63" s="0" t="s">
        <v>345</v>
      </c>
      <c r="H63" s="0" t="s">
        <v>568</v>
      </c>
      <c r="K63" s="0" t="s">
        <v>569</v>
      </c>
      <c r="L63" s="0" t="s">
        <v>570</v>
      </c>
      <c r="N63" s="0" t="s">
        <v>571</v>
      </c>
      <c r="O63" s="10" t="n">
        <v>39976</v>
      </c>
      <c r="P63" s="0" t="s">
        <v>346</v>
      </c>
      <c r="Q63" s="10" t="n">
        <v>39946</v>
      </c>
      <c r="R63" s="10"/>
      <c r="S63" s="0" t="s">
        <v>347</v>
      </c>
      <c r="T63" s="0" t="s">
        <v>348</v>
      </c>
      <c r="U63" s="0" t="s">
        <v>349</v>
      </c>
      <c r="W63" s="0" t="s">
        <v>350</v>
      </c>
      <c r="Y63" s="0" t="s">
        <v>351</v>
      </c>
      <c r="Z63" s="0" t="s">
        <v>352</v>
      </c>
      <c r="AA63" s="0" t="s">
        <v>353</v>
      </c>
      <c r="AJ63" s="2" t="n">
        <v>14.7867</v>
      </c>
      <c r="AK63" s="2" t="n">
        <v>-86.0123</v>
      </c>
      <c r="AL63" s="0" t="s">
        <v>354</v>
      </c>
      <c r="AM63" s="0" t="s">
        <v>63</v>
      </c>
      <c r="AP63" s="34"/>
    </row>
    <row r="64" customFormat="false" ht="13.5" hidden="false" customHeight="true" outlineLevel="0" collapsed="false">
      <c r="A64" s="35" t="s">
        <v>572</v>
      </c>
      <c r="B64" s="0" t="s">
        <v>355</v>
      </c>
      <c r="C64" s="0" t="s">
        <v>32</v>
      </c>
      <c r="D64" s="0" t="s">
        <v>356</v>
      </c>
      <c r="E64" s="0" t="s">
        <v>357</v>
      </c>
      <c r="G64" s="0" t="s">
        <v>358</v>
      </c>
      <c r="H64" s="0" t="s">
        <v>568</v>
      </c>
      <c r="K64" s="0" t="s">
        <v>569</v>
      </c>
      <c r="L64" s="0" t="s">
        <v>569</v>
      </c>
      <c r="N64" s="0" t="s">
        <v>571</v>
      </c>
      <c r="O64" s="10" t="n">
        <v>40492</v>
      </c>
      <c r="P64" s="0" t="s">
        <v>346</v>
      </c>
      <c r="Q64" s="10" t="n">
        <v>40369</v>
      </c>
      <c r="R64" s="10"/>
      <c r="S64" s="0" t="s">
        <v>347</v>
      </c>
      <c r="T64" s="0" t="s">
        <v>359</v>
      </c>
      <c r="U64" s="0" t="s">
        <v>360</v>
      </c>
      <c r="W64" s="0" t="s">
        <v>361</v>
      </c>
      <c r="Y64" s="0" t="s">
        <v>41</v>
      </c>
      <c r="Z64" s="0" t="s">
        <v>42</v>
      </c>
      <c r="AA64" s="0" t="s">
        <v>362</v>
      </c>
      <c r="AJ64" s="2" t="n">
        <v>37.5092</v>
      </c>
      <c r="AK64" s="2" t="n">
        <v>-118.64</v>
      </c>
      <c r="AL64" s="0" t="s">
        <v>363</v>
      </c>
      <c r="AM64" s="0" t="s">
        <v>44</v>
      </c>
      <c r="AP64" s="34"/>
    </row>
    <row r="65" customFormat="false" ht="13.5" hidden="false" customHeight="true" outlineLevel="0" collapsed="false">
      <c r="A65" s="35" t="s">
        <v>573</v>
      </c>
      <c r="B65" s="0" t="s">
        <v>364</v>
      </c>
      <c r="C65" s="0" t="s">
        <v>46</v>
      </c>
      <c r="D65" s="0" t="s">
        <v>47</v>
      </c>
      <c r="E65" s="0" t="s">
        <v>365</v>
      </c>
      <c r="G65" s="0" t="s">
        <v>345</v>
      </c>
      <c r="H65" s="0" t="s">
        <v>568</v>
      </c>
      <c r="K65" s="0" t="s">
        <v>569</v>
      </c>
      <c r="L65" s="0" t="s">
        <v>569</v>
      </c>
      <c r="N65" s="0" t="s">
        <v>571</v>
      </c>
      <c r="O65" s="10" t="n">
        <v>40596</v>
      </c>
      <c r="P65" s="0" t="s">
        <v>346</v>
      </c>
      <c r="Q65" s="10" t="n">
        <v>40412</v>
      </c>
      <c r="R65" s="10"/>
      <c r="S65" s="1" t="s">
        <v>366</v>
      </c>
      <c r="T65" s="0" t="s">
        <v>367</v>
      </c>
      <c r="U65" s="0" t="s">
        <v>318</v>
      </c>
      <c r="W65" s="0" t="s">
        <v>368</v>
      </c>
      <c r="Y65" s="0" t="s">
        <v>369</v>
      </c>
      <c r="Z65" s="0" t="s">
        <v>370</v>
      </c>
      <c r="AA65" s="0" t="s">
        <v>371</v>
      </c>
      <c r="AJ65" s="2" t="n">
        <v>4.94447</v>
      </c>
      <c r="AK65" s="2" t="n">
        <v>117.784</v>
      </c>
      <c r="AL65" s="0" t="s">
        <v>363</v>
      </c>
      <c r="AM65" s="0" t="s">
        <v>372</v>
      </c>
      <c r="AP65" s="34"/>
    </row>
    <row r="66" customFormat="false" ht="12.75" hidden="false" customHeight="false" outlineLevel="0" collapsed="false">
      <c r="A66" s="0" t="s">
        <v>574</v>
      </c>
      <c r="B66" s="0" t="s">
        <v>373</v>
      </c>
      <c r="C66" s="0" t="s">
        <v>98</v>
      </c>
      <c r="D66" s="0" t="s">
        <v>99</v>
      </c>
      <c r="E66" s="0" t="s">
        <v>374</v>
      </c>
      <c r="G66" s="0" t="s">
        <v>358</v>
      </c>
      <c r="H66" s="0" t="s">
        <v>568</v>
      </c>
      <c r="K66" s="0" t="s">
        <v>569</v>
      </c>
      <c r="L66" s="0" t="s">
        <v>569</v>
      </c>
      <c r="N66" s="0" t="s">
        <v>571</v>
      </c>
      <c r="O66" s="10" t="n">
        <v>40775</v>
      </c>
      <c r="P66" s="0" t="s">
        <v>346</v>
      </c>
      <c r="Q66" s="10" t="n">
        <v>40665</v>
      </c>
      <c r="R66" s="10"/>
      <c r="S66" s="0" t="s">
        <v>347</v>
      </c>
      <c r="T66" s="0" t="s">
        <v>375</v>
      </c>
      <c r="U66" s="0" t="s">
        <v>376</v>
      </c>
      <c r="W66" s="0" t="s">
        <v>377</v>
      </c>
      <c r="Y66" s="0" t="s">
        <v>378</v>
      </c>
      <c r="Z66" s="0" t="s">
        <v>311</v>
      </c>
      <c r="AA66" s="0" t="s">
        <v>379</v>
      </c>
      <c r="AJ66" s="2" t="n">
        <v>12.9789</v>
      </c>
      <c r="AK66" s="2" t="n">
        <v>-85.2324</v>
      </c>
      <c r="AL66" s="0" t="s">
        <v>230</v>
      </c>
      <c r="AM66" s="0" t="s">
        <v>63</v>
      </c>
      <c r="AP66" s="34"/>
    </row>
    <row r="67" customFormat="false" ht="12.75" hidden="false" customHeight="false" outlineLevel="0" collapsed="false">
      <c r="A67" s="12" t="s">
        <v>575</v>
      </c>
      <c r="B67" s="0" t="s">
        <v>380</v>
      </c>
      <c r="C67" s="0" t="s">
        <v>46</v>
      </c>
      <c r="D67" s="0" t="s">
        <v>381</v>
      </c>
      <c r="E67" s="12" t="s">
        <v>382</v>
      </c>
      <c r="F67" s="12"/>
      <c r="G67" s="0" t="s">
        <v>101</v>
      </c>
      <c r="H67" s="0" t="s">
        <v>568</v>
      </c>
      <c r="K67" s="0" t="s">
        <v>576</v>
      </c>
      <c r="L67" s="0" t="s">
        <v>576</v>
      </c>
      <c r="N67" s="0" t="s">
        <v>577</v>
      </c>
      <c r="O67" s="10" t="n">
        <v>40721</v>
      </c>
      <c r="P67" s="0" t="s">
        <v>383</v>
      </c>
      <c r="Q67" s="10" t="n">
        <v>40664</v>
      </c>
      <c r="R67" s="10"/>
      <c r="S67" s="0" t="s">
        <v>384</v>
      </c>
      <c r="T67" s="0" t="s">
        <v>385</v>
      </c>
      <c r="U67" s="0" t="s">
        <v>318</v>
      </c>
      <c r="W67" s="0" t="s">
        <v>386</v>
      </c>
      <c r="Y67" s="0" t="s">
        <v>387</v>
      </c>
      <c r="Z67" s="0" t="s">
        <v>311</v>
      </c>
      <c r="AA67" s="12" t="s">
        <v>388</v>
      </c>
      <c r="AJ67" s="2" t="n">
        <v>12.9607</v>
      </c>
      <c r="AK67" s="2" t="n">
        <v>-85.2333</v>
      </c>
      <c r="AL67" s="0" t="s">
        <v>243</v>
      </c>
      <c r="AM67" s="0" t="s">
        <v>63</v>
      </c>
      <c r="AP67" s="34"/>
    </row>
    <row r="68" customFormat="false" ht="12.75" hidden="false" customHeight="false" outlineLevel="0" collapsed="false">
      <c r="A68" s="0" t="s">
        <v>578</v>
      </c>
      <c r="B68" s="0" t="s">
        <v>389</v>
      </c>
      <c r="C68" s="0" t="s">
        <v>46</v>
      </c>
      <c r="D68" s="0" t="s">
        <v>381</v>
      </c>
      <c r="E68" s="12" t="s">
        <v>382</v>
      </c>
      <c r="F68" s="12"/>
      <c r="G68" s="0" t="s">
        <v>58</v>
      </c>
      <c r="H68" s="0" t="s">
        <v>568</v>
      </c>
      <c r="K68" s="0" t="s">
        <v>576</v>
      </c>
      <c r="L68" s="0" t="s">
        <v>576</v>
      </c>
      <c r="N68" s="0" t="s">
        <v>577</v>
      </c>
      <c r="O68" s="10" t="n">
        <v>40721</v>
      </c>
      <c r="P68" s="0" t="s">
        <v>383</v>
      </c>
      <c r="Q68" s="10" t="n">
        <v>40664</v>
      </c>
      <c r="R68" s="10"/>
      <c r="S68" s="0" t="s">
        <v>384</v>
      </c>
      <c r="T68" s="0" t="s">
        <v>385</v>
      </c>
      <c r="U68" s="0" t="s">
        <v>318</v>
      </c>
      <c r="W68" s="0" t="s">
        <v>386</v>
      </c>
      <c r="Y68" s="0" t="s">
        <v>387</v>
      </c>
      <c r="Z68" s="0" t="s">
        <v>311</v>
      </c>
      <c r="AA68" s="12" t="s">
        <v>388</v>
      </c>
      <c r="AJ68" s="2" t="n">
        <v>12.9607</v>
      </c>
      <c r="AK68" s="2" t="n">
        <v>-85.2332</v>
      </c>
      <c r="AL68" s="0" t="s">
        <v>243</v>
      </c>
      <c r="AM68" s="0" t="s">
        <v>63</v>
      </c>
      <c r="AP68" s="34"/>
    </row>
    <row r="69" customFormat="false" ht="12.75" hidden="false" customHeight="false" outlineLevel="0" collapsed="false">
      <c r="A69" s="12" t="s">
        <v>579</v>
      </c>
      <c r="B69" s="0" t="s">
        <v>390</v>
      </c>
      <c r="C69" s="0" t="s">
        <v>46</v>
      </c>
      <c r="D69" s="0" t="s">
        <v>381</v>
      </c>
      <c r="E69" s="12" t="s">
        <v>382</v>
      </c>
      <c r="F69" s="12"/>
      <c r="G69" s="0" t="s">
        <v>58</v>
      </c>
      <c r="H69" s="0" t="s">
        <v>568</v>
      </c>
      <c r="K69" s="0" t="s">
        <v>576</v>
      </c>
      <c r="L69" s="0" t="s">
        <v>576</v>
      </c>
      <c r="N69" s="0" t="s">
        <v>577</v>
      </c>
      <c r="O69" s="10" t="n">
        <v>40721</v>
      </c>
      <c r="P69" s="0" t="s">
        <v>383</v>
      </c>
      <c r="Q69" s="10" t="n">
        <v>40664</v>
      </c>
      <c r="R69" s="10"/>
      <c r="S69" s="0" t="s">
        <v>384</v>
      </c>
      <c r="T69" s="0" t="s">
        <v>385</v>
      </c>
      <c r="U69" s="0" t="s">
        <v>318</v>
      </c>
      <c r="W69" s="0" t="s">
        <v>386</v>
      </c>
      <c r="Y69" s="0" t="s">
        <v>387</v>
      </c>
      <c r="Z69" s="0" t="s">
        <v>311</v>
      </c>
      <c r="AA69" s="0" t="s">
        <v>388</v>
      </c>
      <c r="AJ69" s="2" t="n">
        <v>12.96072</v>
      </c>
      <c r="AK69" s="2" t="n">
        <v>-85.23318</v>
      </c>
      <c r="AL69" s="0" t="s">
        <v>243</v>
      </c>
      <c r="AM69" s="0" t="s">
        <v>63</v>
      </c>
      <c r="AP69" s="34"/>
    </row>
    <row r="70" customFormat="false" ht="12.75" hidden="false" customHeight="false" outlineLevel="0" collapsed="false">
      <c r="A70" s="0" t="s">
        <v>580</v>
      </c>
      <c r="B70" s="0" t="s">
        <v>391</v>
      </c>
      <c r="C70" s="0" t="s">
        <v>98</v>
      </c>
      <c r="D70" s="0" t="s">
        <v>392</v>
      </c>
      <c r="E70" s="0" t="s">
        <v>393</v>
      </c>
      <c r="G70" s="0" t="s">
        <v>225</v>
      </c>
      <c r="H70" s="0" t="s">
        <v>476</v>
      </c>
      <c r="K70" s="0" t="s">
        <v>581</v>
      </c>
      <c r="L70" s="0" t="s">
        <v>582</v>
      </c>
      <c r="O70" s="10" t="n">
        <v>38055</v>
      </c>
      <c r="P70" s="0" t="s">
        <v>394</v>
      </c>
      <c r="Q70" s="10" t="n">
        <v>18012</v>
      </c>
      <c r="R70" s="10" t="n">
        <v>18024</v>
      </c>
      <c r="W70" s="0" t="s">
        <v>395</v>
      </c>
      <c r="Z70" s="0" t="s">
        <v>396</v>
      </c>
      <c r="AJ70" s="2" t="n">
        <v>0</v>
      </c>
      <c r="AK70" s="2" t="n">
        <v>0</v>
      </c>
      <c r="AM70" s="0" t="s">
        <v>160</v>
      </c>
      <c r="AP70" s="34"/>
      <c r="AW70" s="11"/>
      <c r="AX70" s="11"/>
      <c r="BQ70" s="11"/>
    </row>
    <row r="71" s="36" customFormat="true" ht="12.75" hidden="false" customHeight="false" outlineLevel="0" collapsed="false">
      <c r="A71" s="36" t="s">
        <v>583</v>
      </c>
      <c r="B71" s="36" t="s">
        <v>397</v>
      </c>
      <c r="C71" s="36" t="s">
        <v>98</v>
      </c>
      <c r="D71" s="36" t="s">
        <v>398</v>
      </c>
      <c r="E71" s="36" t="s">
        <v>399</v>
      </c>
      <c r="G71" s="36" t="s">
        <v>400</v>
      </c>
      <c r="H71" s="36" t="s">
        <v>476</v>
      </c>
      <c r="K71" s="36" t="s">
        <v>581</v>
      </c>
      <c r="L71" s="36" t="s">
        <v>582</v>
      </c>
      <c r="O71" s="37" t="n">
        <v>38055</v>
      </c>
      <c r="P71" s="36" t="s">
        <v>401</v>
      </c>
      <c r="Q71" s="37" t="n">
        <v>33971</v>
      </c>
      <c r="R71" s="37"/>
      <c r="S71" s="36" t="s">
        <v>114</v>
      </c>
      <c r="T71" s="36" t="s">
        <v>402</v>
      </c>
      <c r="W71" s="36" t="s">
        <v>403</v>
      </c>
      <c r="Y71" s="36" t="s">
        <v>404</v>
      </c>
      <c r="Z71" s="36" t="s">
        <v>405</v>
      </c>
      <c r="AJ71" s="36" t="n">
        <v>-33.35</v>
      </c>
      <c r="AK71" s="36" t="n">
        <v>26.5</v>
      </c>
      <c r="AM71" s="36" t="s">
        <v>160</v>
      </c>
      <c r="AP71" s="34"/>
      <c r="AW71" s="38"/>
      <c r="AX71" s="38"/>
      <c r="BQ71" s="38"/>
    </row>
    <row r="72" customFormat="false" ht="13.5" hidden="false" customHeight="true" outlineLevel="0" collapsed="false">
      <c r="A72" s="35"/>
      <c r="AP72" s="3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10" activeCellId="0" sqref="C10"/>
    </sheetView>
  </sheetViews>
  <sheetFormatPr defaultColWidth="8.66796875" defaultRowHeight="12.75" zeroHeight="false" outlineLevelRow="0" outlineLevelCol="0"/>
  <cols>
    <col collapsed="false" customWidth="true" hidden="false" outlineLevel="0" max="1" min="1" style="0" width="38.16"/>
    <col collapsed="false" customWidth="true" hidden="false" outlineLevel="0" max="2" min="2" style="34" width="13.34"/>
    <col collapsed="false" customWidth="true" hidden="false" outlineLevel="0" max="3" min="3" style="34" width="11.67"/>
  </cols>
  <sheetData>
    <row r="1" customFormat="false" ht="20.25" hidden="false" customHeight="true" outlineLevel="0" collapsed="false">
      <c r="A1" s="39"/>
      <c r="B1" s="40" t="s">
        <v>584</v>
      </c>
      <c r="C1" s="40" t="s">
        <v>585</v>
      </c>
    </row>
    <row r="2" customFormat="false" ht="12.75" hidden="false" customHeight="false" outlineLevel="0" collapsed="false">
      <c r="A2" s="41" t="s">
        <v>586</v>
      </c>
      <c r="B2" s="34" t="s">
        <v>587</v>
      </c>
      <c r="C2" s="34" t="s">
        <v>588</v>
      </c>
    </row>
    <row r="3" customFormat="false" ht="12.75" hidden="false" customHeight="false" outlineLevel="0" collapsed="false">
      <c r="A3" s="41"/>
    </row>
    <row r="4" customFormat="false" ht="12.75" hidden="false" customHeight="false" outlineLevel="0" collapsed="false">
      <c r="A4" s="41"/>
    </row>
    <row r="5" customFormat="false" ht="12.75" hidden="false" customHeight="false" outlineLevel="0" collapsed="false">
      <c r="A5" s="41"/>
    </row>
    <row r="6" customFormat="false" ht="12.75" hidden="false" customHeight="false" outlineLevel="0" collapsed="false">
      <c r="A6" s="41" t="s">
        <v>589</v>
      </c>
      <c r="B6" s="34" t="s">
        <v>590</v>
      </c>
      <c r="C6" s="34" t="s">
        <v>591</v>
      </c>
    </row>
    <row r="7" customFormat="false" ht="12.75" hidden="false" customHeight="false" outlineLevel="0" collapsed="false">
      <c r="A7" s="41"/>
    </row>
    <row r="8" customFormat="false" ht="12.75" hidden="false" customHeight="false" outlineLevel="0" collapsed="false">
      <c r="A8" s="41"/>
    </row>
    <row r="9" customFormat="false" ht="12.75" hidden="false" customHeight="false" outlineLevel="0" collapsed="false">
      <c r="A9" s="41"/>
    </row>
    <row r="10" customFormat="false" ht="12.75" hidden="false" customHeight="false" outlineLevel="0" collapsed="false">
      <c r="A10" s="41" t="s">
        <v>592</v>
      </c>
      <c r="B10" s="34" t="n">
        <v>2001</v>
      </c>
      <c r="C10" s="34" t="s">
        <v>593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3"/>
  <sheetViews>
    <sheetView showFormulas="false" showGridLines="true" showRowColHeaders="true" showZeros="true" rightToLeft="false" tabSelected="false" showOutlineSymbols="true" defaultGridColor="true" view="normal" topLeftCell="A1" colorId="64" zoomScale="150" zoomScaleNormal="150" zoomScalePageLayoutView="100" workbookViewId="0">
      <selection pane="topLeft" activeCell="B6" activeCellId="0" sqref="B6"/>
    </sheetView>
  </sheetViews>
  <sheetFormatPr defaultColWidth="8.66796875" defaultRowHeight="12.75" zeroHeight="false" outlineLevelRow="0" outlineLevelCol="0"/>
  <cols>
    <col collapsed="false" customWidth="true" hidden="false" outlineLevel="0" max="1" min="1" style="0" width="22.16"/>
    <col collapsed="false" customWidth="true" hidden="false" outlineLevel="0" max="2" min="2" style="0" width="17.67"/>
    <col collapsed="false" customWidth="true" hidden="false" outlineLevel="0" max="3" min="3" style="0" width="19.16"/>
    <col collapsed="false" customWidth="true" hidden="false" outlineLevel="0" max="4" min="4" style="0" width="14.16"/>
    <col collapsed="false" customWidth="true" hidden="false" outlineLevel="0" max="5" min="5" style="0" width="18.67"/>
    <col collapsed="false" customWidth="true" hidden="false" outlineLevel="0" max="6" min="6" style="0" width="8.16"/>
    <col collapsed="false" customWidth="true" hidden="false" outlineLevel="0" max="7" min="7" style="0" width="8.34"/>
    <col collapsed="false" customWidth="true" hidden="false" outlineLevel="0" max="8" min="8" style="0" width="7"/>
    <col collapsed="false" customWidth="true" hidden="false" outlineLevel="0" max="9" min="9" style="0" width="13"/>
    <col collapsed="false" customWidth="true" hidden="false" outlineLevel="0" max="10" min="10" style="0" width="14.67"/>
    <col collapsed="false" customWidth="true" hidden="false" outlineLevel="0" max="11" min="11" style="0" width="6.33"/>
    <col collapsed="false" customWidth="true" hidden="false" outlineLevel="0" max="12" min="12" style="0" width="15.33"/>
    <col collapsed="false" customWidth="true" hidden="false" outlineLevel="0" max="13" min="13" style="0" width="7.16"/>
    <col collapsed="false" customWidth="true" hidden="false" outlineLevel="0" max="14" min="14" style="0" width="16"/>
    <col collapsed="false" customWidth="true" hidden="false" outlineLevel="0" max="15" min="15" style="0" width="14.51"/>
    <col collapsed="false" customWidth="true" hidden="false" outlineLevel="0" max="16" min="16" style="0" width="15"/>
    <col collapsed="false" customWidth="true" hidden="false" outlineLevel="0" max="18" min="18" style="0" width="14.51"/>
    <col collapsed="false" customWidth="true" hidden="false" outlineLevel="0" max="19" min="19" style="0" width="15.51"/>
    <col collapsed="false" customWidth="true" hidden="false" outlineLevel="0" max="20" min="20" style="0" width="7.5"/>
  </cols>
  <sheetData>
    <row r="1" customFormat="false" ht="15.75" hidden="false" customHeight="true" outlineLevel="0" collapsed="false">
      <c r="A1" s="42" t="s">
        <v>594</v>
      </c>
      <c r="B1" s="42"/>
      <c r="C1" s="42"/>
      <c r="D1" s="42"/>
      <c r="E1" s="43"/>
      <c r="F1" s="43"/>
      <c r="G1" s="43"/>
    </row>
    <row r="2" customFormat="false" ht="15.75" hidden="false" customHeight="true" outlineLevel="0" collapsed="false">
      <c r="A2" s="44"/>
      <c r="B2" s="44"/>
      <c r="C2" s="44"/>
      <c r="D2" s="44"/>
      <c r="E2" s="43"/>
      <c r="F2" s="43"/>
      <c r="G2" s="43"/>
    </row>
    <row r="3" customFormat="false" ht="12.75" hidden="false" customHeight="false" outlineLevel="0" collapsed="false">
      <c r="A3" s="45" t="s">
        <v>595</v>
      </c>
      <c r="B3" s="46"/>
      <c r="C3" s="46"/>
      <c r="D3" s="46"/>
      <c r="E3" s="46"/>
      <c r="F3" s="46"/>
      <c r="G3" s="46"/>
    </row>
    <row r="4" customFormat="false" ht="13.5" hidden="false" customHeight="true" outlineLevel="0" collapsed="false">
      <c r="A4" s="47"/>
      <c r="B4" s="46"/>
      <c r="C4" s="46"/>
      <c r="D4" s="46"/>
      <c r="E4" s="46"/>
      <c r="F4" s="46"/>
      <c r="G4" s="46"/>
    </row>
    <row r="5" customFormat="false" ht="12.75" hidden="false" customHeight="false" outlineLevel="0" collapsed="false">
      <c r="A5" s="12" t="s">
        <v>596</v>
      </c>
      <c r="B5" s="12"/>
      <c r="C5" s="12"/>
      <c r="D5" s="12"/>
      <c r="E5" s="12"/>
      <c r="F5" s="12"/>
      <c r="G5" s="12"/>
      <c r="H5" s="12"/>
    </row>
    <row r="6" customFormat="false" ht="12.75" hidden="false" customHeight="false" outlineLevel="0" collapsed="false">
      <c r="A6" s="12"/>
      <c r="B6" s="41" t="s">
        <v>597</v>
      </c>
      <c r="C6" s="12"/>
      <c r="D6" s="12"/>
      <c r="E6" s="12"/>
      <c r="F6" s="12"/>
      <c r="G6" s="12"/>
      <c r="H6" s="12"/>
    </row>
    <row r="7" customFormat="false" ht="12.75" hidden="false" customHeight="false" outlineLevel="0" collapsed="false">
      <c r="A7" s="12"/>
      <c r="B7" s="12"/>
      <c r="C7" s="12"/>
      <c r="D7" s="12"/>
      <c r="E7" s="12"/>
      <c r="F7" s="12"/>
      <c r="G7" s="12"/>
      <c r="H7" s="12"/>
    </row>
    <row r="8" customFormat="false" ht="12.75" hidden="false" customHeight="false" outlineLevel="0" collapsed="false">
      <c r="A8" s="12" t="s">
        <v>598</v>
      </c>
      <c r="B8" s="12"/>
      <c r="C8" s="12"/>
      <c r="D8" s="12"/>
      <c r="E8" s="12"/>
      <c r="F8" s="12"/>
      <c r="G8" s="12"/>
      <c r="H8" s="12"/>
    </row>
    <row r="9" customFormat="false" ht="12.75" hidden="false" customHeight="false" outlineLevel="0" collapsed="false">
      <c r="A9" s="12"/>
      <c r="B9" s="41" t="s">
        <v>599</v>
      </c>
      <c r="C9" s="12"/>
      <c r="D9" s="12"/>
      <c r="E9" s="12"/>
      <c r="F9" s="12"/>
      <c r="G9" s="12"/>
      <c r="H9" s="12"/>
    </row>
    <row r="10" customFormat="false" ht="12.75" hidden="false" customHeight="false" outlineLevel="0" collapsed="false">
      <c r="A10" s="12"/>
      <c r="B10" s="41"/>
      <c r="C10" s="12"/>
      <c r="D10" s="12"/>
      <c r="E10" s="12"/>
      <c r="F10" s="12"/>
      <c r="G10" s="12"/>
      <c r="H10" s="12"/>
    </row>
    <row r="11" customFormat="false" ht="12.75" hidden="false" customHeight="false" outlineLevel="0" collapsed="false">
      <c r="A11" s="12"/>
      <c r="B11" s="41"/>
      <c r="C11" s="12"/>
      <c r="D11" s="12"/>
      <c r="E11" s="12"/>
      <c r="F11" s="12"/>
      <c r="G11" s="12"/>
      <c r="H11" s="12"/>
    </row>
    <row r="12" customFormat="false" ht="12.75" hidden="false" customHeight="false" outlineLevel="0" collapsed="false">
      <c r="A12" s="41" t="s">
        <v>600</v>
      </c>
    </row>
    <row r="13" customFormat="false" ht="13.5" hidden="false" customHeight="true" outlineLevel="0" collapsed="false">
      <c r="A13" s="39"/>
    </row>
    <row r="14" customFormat="false" ht="12.75" hidden="false" customHeight="false" outlineLevel="0" collapsed="false">
      <c r="A14" s="0" t="s">
        <v>601</v>
      </c>
    </row>
    <row r="17" customFormat="false" ht="12.75" hidden="false" customHeight="false" outlineLevel="0" collapsed="false">
      <c r="A17" s="48"/>
      <c r="B17" s="48"/>
      <c r="C17" s="48"/>
      <c r="D17" s="48"/>
      <c r="E17" s="48"/>
      <c r="F17" s="48"/>
      <c r="G17" s="48"/>
      <c r="H17" s="48"/>
      <c r="J17" s="48"/>
      <c r="K17" s="48"/>
      <c r="L17" s="48"/>
      <c r="M17" s="48"/>
      <c r="O17" s="48"/>
      <c r="P17" s="48"/>
      <c r="Q17" s="48"/>
      <c r="R17" s="48"/>
      <c r="S17" s="48"/>
      <c r="T17" s="48"/>
    </row>
    <row r="18" customFormat="false" ht="12.75" hidden="false" customHeight="false" outlineLevel="0" collapsed="false">
      <c r="A18" s="48"/>
      <c r="B18" s="48"/>
      <c r="C18" s="48"/>
      <c r="D18" s="48"/>
      <c r="E18" s="48"/>
      <c r="F18" s="48"/>
      <c r="G18" s="48"/>
      <c r="H18" s="48"/>
      <c r="I18" s="41"/>
      <c r="J18" s="48"/>
      <c r="K18" s="48"/>
      <c r="L18" s="48"/>
      <c r="M18" s="48"/>
      <c r="N18" s="49"/>
      <c r="O18" s="48"/>
      <c r="P18" s="48"/>
      <c r="Q18" s="48"/>
      <c r="R18" s="48"/>
      <c r="S18" s="48"/>
      <c r="T18" s="48"/>
    </row>
    <row r="19" customFormat="false" ht="12.75" hidden="false" customHeight="false" outlineLevel="0" collapsed="false">
      <c r="A19" s="12"/>
      <c r="B19" s="12"/>
      <c r="C19" s="12"/>
      <c r="D19" s="12"/>
      <c r="E19" s="12"/>
      <c r="F19" s="12"/>
      <c r="G19" s="12"/>
      <c r="H19" s="12"/>
      <c r="I19" s="12"/>
      <c r="J19" s="12"/>
      <c r="K19" s="12"/>
      <c r="L19" s="12"/>
      <c r="M19" s="12"/>
      <c r="N19" s="12"/>
      <c r="O19" s="12"/>
      <c r="P19" s="12"/>
      <c r="Q19" s="12"/>
      <c r="R19" s="12"/>
      <c r="S19" s="12"/>
      <c r="T19" s="12"/>
    </row>
    <row r="24" customFormat="false" ht="12.75" hidden="false" customHeight="false" outlineLevel="0" collapsed="false">
      <c r="A24" s="48"/>
      <c r="B24" s="48"/>
      <c r="C24" s="48"/>
      <c r="D24" s="48"/>
      <c r="E24" s="48"/>
      <c r="F24" s="48"/>
    </row>
    <row r="25" customFormat="false" ht="12.75" hidden="false" customHeight="false" outlineLevel="0" collapsed="false">
      <c r="A25" s="48"/>
      <c r="B25" s="48"/>
      <c r="C25" s="48"/>
      <c r="D25" s="48"/>
      <c r="E25" s="48"/>
      <c r="F25" s="48"/>
    </row>
    <row r="26" customFormat="false" ht="12.75" hidden="false" customHeight="false" outlineLevel="0" collapsed="false">
      <c r="A26" s="12"/>
      <c r="B26" s="12"/>
      <c r="C26" s="12"/>
      <c r="D26" s="12"/>
      <c r="E26" s="12"/>
      <c r="F26" s="12"/>
    </row>
    <row r="31" customFormat="false" ht="12.75" hidden="false" customHeight="false" outlineLevel="0" collapsed="false">
      <c r="A31" s="48"/>
      <c r="B31" s="48"/>
      <c r="C31" s="48"/>
      <c r="D31" s="48"/>
    </row>
    <row r="32" customFormat="false" ht="12.75" hidden="false" customHeight="false" outlineLevel="0" collapsed="false">
      <c r="A32" s="48"/>
      <c r="B32" s="48"/>
      <c r="C32" s="48"/>
      <c r="D32" s="48"/>
    </row>
    <row r="33" customFormat="false" ht="12.75" hidden="false" customHeight="false" outlineLevel="0" collapsed="false">
      <c r="A33" s="12"/>
      <c r="B33" s="12"/>
      <c r="C33" s="12"/>
      <c r="D33" s="12"/>
    </row>
  </sheetData>
  <mergeCells count="16">
    <mergeCell ref="A1:D1"/>
    <mergeCell ref="A17:H17"/>
    <mergeCell ref="J17:M17"/>
    <mergeCell ref="O17:T17"/>
    <mergeCell ref="A18:D18"/>
    <mergeCell ref="E18:H18"/>
    <mergeCell ref="J18:K18"/>
    <mergeCell ref="L18:M18"/>
    <mergeCell ref="O18:Q18"/>
    <mergeCell ref="R18:T18"/>
    <mergeCell ref="A24:F24"/>
    <mergeCell ref="A25:C25"/>
    <mergeCell ref="D25:F25"/>
    <mergeCell ref="A31:D31"/>
    <mergeCell ref="A32:B32"/>
    <mergeCell ref="C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0"/>
  <sheetViews>
    <sheetView showFormulas="false" showGridLines="true" showRowColHeaders="true" showZeros="true" rightToLeft="false" tabSelected="false" showOutlineSymbols="true" defaultGridColor="true" view="normal" topLeftCell="A247" colorId="64" zoomScale="150" zoomScaleNormal="150" zoomScalePageLayoutView="100" workbookViewId="0">
      <selection pane="topLeft" activeCell="B190" activeCellId="0" sqref="B190"/>
    </sheetView>
  </sheetViews>
  <sheetFormatPr defaultColWidth="10.66796875" defaultRowHeight="12.75" zeroHeight="false" outlineLevelRow="0" outlineLevelCol="0"/>
  <cols>
    <col collapsed="false" customWidth="true" hidden="false" outlineLevel="0" max="1" min="1" style="0" width="36.5"/>
    <col collapsed="false" customWidth="true" hidden="false" outlineLevel="0" max="2" min="2" style="0" width="8.34"/>
    <col collapsed="false" customWidth="true" hidden="false" outlineLevel="0" max="3" min="3" style="0" width="128.5"/>
  </cols>
  <sheetData>
    <row r="1" customFormat="false" ht="12.75" hidden="false" customHeight="false" outlineLevel="0" collapsed="false">
      <c r="A1" s="50" t="s">
        <v>602</v>
      </c>
      <c r="B1" s="50" t="s">
        <v>603</v>
      </c>
      <c r="C1" s="50" t="s">
        <v>604</v>
      </c>
    </row>
    <row r="2" customFormat="false" ht="12.75" hidden="false" customHeight="false" outlineLevel="0" collapsed="false">
      <c r="A2" s="0" t="s">
        <v>605</v>
      </c>
      <c r="B2" s="0" t="s">
        <v>606</v>
      </c>
    </row>
    <row r="3" customFormat="false" ht="12.75" hidden="false" customHeight="false" outlineLevel="0" collapsed="false">
      <c r="A3" s="0" t="s">
        <v>607</v>
      </c>
      <c r="B3" s="0" t="s">
        <v>608</v>
      </c>
    </row>
    <row r="4" customFormat="false" ht="12.75" hidden="false" customHeight="false" outlineLevel="0" collapsed="false">
      <c r="A4" s="0" t="s">
        <v>609</v>
      </c>
      <c r="B4" s="0" t="s">
        <v>610</v>
      </c>
    </row>
    <row r="5" customFormat="false" ht="12.75" hidden="false" customHeight="false" outlineLevel="0" collapsed="false">
      <c r="A5" s="0" t="s">
        <v>611</v>
      </c>
      <c r="B5" s="0" t="s">
        <v>612</v>
      </c>
    </row>
    <row r="6" customFormat="false" ht="12.75" hidden="false" customHeight="false" outlineLevel="0" collapsed="false">
      <c r="A6" s="0" t="s">
        <v>613</v>
      </c>
      <c r="B6" s="0" t="s">
        <v>614</v>
      </c>
    </row>
    <row r="7" customFormat="false" ht="12.75" hidden="false" customHeight="false" outlineLevel="0" collapsed="false">
      <c r="A7" s="0" t="s">
        <v>615</v>
      </c>
      <c r="B7" s="0" t="s">
        <v>616</v>
      </c>
    </row>
    <row r="8" customFormat="false" ht="12.75" hidden="false" customHeight="false" outlineLevel="0" collapsed="false">
      <c r="A8" s="0" t="s">
        <v>159</v>
      </c>
      <c r="B8" s="0" t="s">
        <v>617</v>
      </c>
    </row>
    <row r="9" customFormat="false" ht="12.75" hidden="false" customHeight="false" outlineLevel="0" collapsed="false">
      <c r="A9" s="0" t="s">
        <v>618</v>
      </c>
      <c r="B9" s="0" t="s">
        <v>619</v>
      </c>
    </row>
    <row r="10" customFormat="false" ht="12.75" hidden="false" customHeight="false" outlineLevel="0" collapsed="false">
      <c r="A10" s="0" t="s">
        <v>620</v>
      </c>
      <c r="B10" s="0" t="s">
        <v>621</v>
      </c>
    </row>
    <row r="11" customFormat="false" ht="12.75" hidden="false" customHeight="false" outlineLevel="0" collapsed="false">
      <c r="A11" s="0" t="s">
        <v>622</v>
      </c>
      <c r="B11" s="0" t="s">
        <v>623</v>
      </c>
    </row>
    <row r="12" customFormat="false" ht="12.75" hidden="false" customHeight="false" outlineLevel="0" collapsed="false">
      <c r="A12" s="0" t="s">
        <v>624</v>
      </c>
      <c r="B12" s="0" t="s">
        <v>625</v>
      </c>
    </row>
    <row r="13" customFormat="false" ht="12.75" hidden="false" customHeight="false" outlineLevel="0" collapsed="false">
      <c r="A13" s="0" t="s">
        <v>626</v>
      </c>
      <c r="B13" s="0" t="s">
        <v>627</v>
      </c>
    </row>
    <row r="14" customFormat="false" ht="12.75" hidden="false" customHeight="false" outlineLevel="0" collapsed="false">
      <c r="A14" s="0" t="s">
        <v>628</v>
      </c>
      <c r="B14" s="0" t="s">
        <v>629</v>
      </c>
    </row>
    <row r="15" customFormat="false" ht="12.75" hidden="false" customHeight="false" outlineLevel="0" collapsed="false">
      <c r="A15" s="0" t="s">
        <v>149</v>
      </c>
      <c r="B15" s="0" t="s">
        <v>630</v>
      </c>
    </row>
    <row r="16" customFormat="false" ht="12.75" hidden="false" customHeight="false" outlineLevel="0" collapsed="false">
      <c r="A16" s="0" t="s">
        <v>631</v>
      </c>
      <c r="B16" s="0" t="s">
        <v>632</v>
      </c>
    </row>
    <row r="17" customFormat="false" ht="12.75" hidden="false" customHeight="false" outlineLevel="0" collapsed="false">
      <c r="A17" s="0" t="s">
        <v>633</v>
      </c>
      <c r="B17" s="0" t="s">
        <v>634</v>
      </c>
    </row>
    <row r="18" customFormat="false" ht="12.75" hidden="false" customHeight="false" outlineLevel="0" collapsed="false">
      <c r="A18" s="0" t="s">
        <v>635</v>
      </c>
      <c r="B18" s="0" t="s">
        <v>636</v>
      </c>
    </row>
    <row r="19" customFormat="false" ht="12.75" hidden="false" customHeight="false" outlineLevel="0" collapsed="false">
      <c r="A19" s="0" t="s">
        <v>637</v>
      </c>
      <c r="B19" s="0" t="s">
        <v>638</v>
      </c>
    </row>
    <row r="20" customFormat="false" ht="12.75" hidden="false" customHeight="false" outlineLevel="0" collapsed="false">
      <c r="A20" s="0" t="s">
        <v>639</v>
      </c>
      <c r="B20" s="0" t="s">
        <v>640</v>
      </c>
    </row>
    <row r="21" customFormat="false" ht="12.75" hidden="false" customHeight="false" outlineLevel="0" collapsed="false">
      <c r="A21" s="0" t="s">
        <v>641</v>
      </c>
      <c r="B21" s="0" t="s">
        <v>642</v>
      </c>
    </row>
    <row r="22" customFormat="false" ht="12.75" hidden="false" customHeight="false" outlineLevel="0" collapsed="false">
      <c r="A22" s="0" t="s">
        <v>643</v>
      </c>
      <c r="B22" s="0" t="s">
        <v>644</v>
      </c>
      <c r="C22" s="0" t="s">
        <v>645</v>
      </c>
    </row>
    <row r="23" customFormat="false" ht="12.75" hidden="false" customHeight="false" outlineLevel="0" collapsed="false">
      <c r="A23" s="0" t="s">
        <v>646</v>
      </c>
      <c r="B23" s="0" t="s">
        <v>647</v>
      </c>
    </row>
    <row r="24" customFormat="false" ht="12.75" hidden="false" customHeight="false" outlineLevel="0" collapsed="false">
      <c r="A24" s="0" t="s">
        <v>183</v>
      </c>
      <c r="B24" s="0" t="s">
        <v>648</v>
      </c>
    </row>
    <row r="25" customFormat="false" ht="12.75" hidden="false" customHeight="false" outlineLevel="0" collapsed="false">
      <c r="A25" s="0" t="s">
        <v>649</v>
      </c>
      <c r="B25" s="0" t="s">
        <v>650</v>
      </c>
      <c r="C25" s="0" t="s">
        <v>651</v>
      </c>
    </row>
    <row r="26" customFormat="false" ht="12.75" hidden="false" customHeight="false" outlineLevel="0" collapsed="false">
      <c r="A26" s="0" t="s">
        <v>652</v>
      </c>
      <c r="B26" s="0" t="s">
        <v>653</v>
      </c>
    </row>
    <row r="27" customFormat="false" ht="12.75" hidden="false" customHeight="false" outlineLevel="0" collapsed="false">
      <c r="A27" s="0" t="s">
        <v>654</v>
      </c>
      <c r="B27" s="0" t="s">
        <v>655</v>
      </c>
    </row>
    <row r="28" customFormat="false" ht="12.75" hidden="false" customHeight="false" outlineLevel="0" collapsed="false">
      <c r="A28" s="0" t="s">
        <v>656</v>
      </c>
      <c r="B28" s="0" t="s">
        <v>657</v>
      </c>
    </row>
    <row r="29" customFormat="false" ht="12.75" hidden="false" customHeight="false" outlineLevel="0" collapsed="false">
      <c r="A29" s="0" t="s">
        <v>658</v>
      </c>
      <c r="B29" s="0" t="s">
        <v>659</v>
      </c>
      <c r="C29" s="0" t="s">
        <v>660</v>
      </c>
    </row>
    <row r="30" customFormat="false" ht="12.75" hidden="false" customHeight="false" outlineLevel="0" collapsed="false">
      <c r="A30" s="0" t="s">
        <v>661</v>
      </c>
      <c r="B30" s="0" t="s">
        <v>662</v>
      </c>
    </row>
    <row r="31" customFormat="false" ht="12.75" hidden="false" customHeight="false" outlineLevel="0" collapsed="false">
      <c r="A31" s="0" t="s">
        <v>663</v>
      </c>
      <c r="B31" s="0" t="s">
        <v>664</v>
      </c>
    </row>
    <row r="32" customFormat="false" ht="12.75" hidden="false" customHeight="false" outlineLevel="0" collapsed="false">
      <c r="A32" s="0" t="s">
        <v>665</v>
      </c>
      <c r="B32" s="0" t="s">
        <v>666</v>
      </c>
    </row>
    <row r="33" customFormat="false" ht="12.75" hidden="false" customHeight="false" outlineLevel="0" collapsed="false">
      <c r="A33" s="0" t="s">
        <v>62</v>
      </c>
      <c r="B33" s="0" t="s">
        <v>667</v>
      </c>
    </row>
    <row r="34" customFormat="false" ht="12.75" hidden="false" customHeight="false" outlineLevel="0" collapsed="false">
      <c r="A34" s="0" t="s">
        <v>668</v>
      </c>
      <c r="B34" s="0" t="s">
        <v>669</v>
      </c>
      <c r="C34" s="0" t="s">
        <v>670</v>
      </c>
    </row>
    <row r="35" customFormat="false" ht="12.75" hidden="false" customHeight="false" outlineLevel="0" collapsed="false">
      <c r="A35" s="0" t="s">
        <v>671</v>
      </c>
      <c r="B35" s="0" t="s">
        <v>672</v>
      </c>
    </row>
    <row r="36" customFormat="false" ht="12.75" hidden="false" customHeight="false" outlineLevel="0" collapsed="false">
      <c r="A36" s="0" t="s">
        <v>673</v>
      </c>
      <c r="B36" s="0" t="s">
        <v>674</v>
      </c>
    </row>
    <row r="37" customFormat="false" ht="12.75" hidden="false" customHeight="false" outlineLevel="0" collapsed="false">
      <c r="A37" s="0" t="s">
        <v>675</v>
      </c>
      <c r="B37" s="0" t="s">
        <v>676</v>
      </c>
      <c r="C37" s="0" t="s">
        <v>677</v>
      </c>
    </row>
    <row r="38" customFormat="false" ht="12.75" hidden="false" customHeight="false" outlineLevel="0" collapsed="false">
      <c r="A38" s="0" t="s">
        <v>678</v>
      </c>
      <c r="B38" s="0" t="s">
        <v>679</v>
      </c>
    </row>
    <row r="39" customFormat="false" ht="12.75" hidden="false" customHeight="false" outlineLevel="0" collapsed="false">
      <c r="A39" s="0" t="s">
        <v>680</v>
      </c>
      <c r="B39" s="0" t="s">
        <v>681</v>
      </c>
      <c r="C39" s="0" t="s">
        <v>682</v>
      </c>
    </row>
    <row r="40" customFormat="false" ht="12.75" hidden="false" customHeight="false" outlineLevel="0" collapsed="false">
      <c r="A40" s="0" t="s">
        <v>396</v>
      </c>
      <c r="B40" s="0" t="s">
        <v>683</v>
      </c>
    </row>
    <row r="41" customFormat="false" ht="12.75" hidden="false" customHeight="false" outlineLevel="0" collapsed="false">
      <c r="A41" s="0" t="s">
        <v>684</v>
      </c>
      <c r="B41" s="0" t="s">
        <v>685</v>
      </c>
    </row>
    <row r="42" customFormat="false" ht="12.75" hidden="false" customHeight="false" outlineLevel="0" collapsed="false">
      <c r="A42" s="0" t="s">
        <v>686</v>
      </c>
      <c r="B42" s="0" t="s">
        <v>687</v>
      </c>
    </row>
    <row r="43" customFormat="false" ht="12.75" hidden="false" customHeight="false" outlineLevel="0" collapsed="false">
      <c r="A43" s="0" t="s">
        <v>688</v>
      </c>
      <c r="B43" s="0" t="s">
        <v>689</v>
      </c>
    </row>
    <row r="44" customFormat="false" ht="12.75" hidden="false" customHeight="false" outlineLevel="0" collapsed="false">
      <c r="A44" s="0" t="s">
        <v>690</v>
      </c>
      <c r="B44" s="0" t="s">
        <v>691</v>
      </c>
    </row>
    <row r="45" customFormat="false" ht="12.75" hidden="false" customHeight="false" outlineLevel="0" collapsed="false">
      <c r="A45" s="0" t="s">
        <v>692</v>
      </c>
      <c r="B45" s="0" t="s">
        <v>693</v>
      </c>
      <c r="C45" s="0" t="s">
        <v>694</v>
      </c>
    </row>
    <row r="46" customFormat="false" ht="12.75" hidden="false" customHeight="false" outlineLevel="0" collapsed="false">
      <c r="A46" s="0" t="s">
        <v>695</v>
      </c>
      <c r="B46" s="0" t="s">
        <v>696</v>
      </c>
    </row>
    <row r="47" customFormat="false" ht="12.75" hidden="false" customHeight="false" outlineLevel="0" collapsed="false">
      <c r="A47" s="0" t="s">
        <v>697</v>
      </c>
      <c r="B47" s="0" t="s">
        <v>698</v>
      </c>
      <c r="C47" s="0" t="s">
        <v>699</v>
      </c>
    </row>
    <row r="48" customFormat="false" ht="12.75" hidden="false" customHeight="false" outlineLevel="0" collapsed="false">
      <c r="A48" s="0" t="s">
        <v>700</v>
      </c>
      <c r="B48" s="0" t="s">
        <v>701</v>
      </c>
    </row>
    <row r="49" customFormat="false" ht="12.75" hidden="false" customHeight="false" outlineLevel="0" collapsed="false">
      <c r="A49" s="0" t="s">
        <v>702</v>
      </c>
      <c r="B49" s="0" t="s">
        <v>703</v>
      </c>
    </row>
    <row r="50" customFormat="false" ht="12.75" hidden="false" customHeight="false" outlineLevel="0" collapsed="false">
      <c r="A50" s="0" t="s">
        <v>189</v>
      </c>
      <c r="B50" s="0" t="s">
        <v>704</v>
      </c>
    </row>
    <row r="51" customFormat="false" ht="12.75" hidden="false" customHeight="false" outlineLevel="0" collapsed="false">
      <c r="A51" s="0" t="s">
        <v>705</v>
      </c>
      <c r="B51" s="0" t="s">
        <v>706</v>
      </c>
    </row>
    <row r="52" customFormat="false" ht="12.75" hidden="false" customHeight="false" outlineLevel="0" collapsed="false">
      <c r="A52" s="0" t="s">
        <v>707</v>
      </c>
      <c r="B52" s="0" t="s">
        <v>708</v>
      </c>
      <c r="C52" s="0" t="s">
        <v>709</v>
      </c>
    </row>
    <row r="53" customFormat="false" ht="12.75" hidden="false" customHeight="false" outlineLevel="0" collapsed="false">
      <c r="A53" s="0" t="s">
        <v>710</v>
      </c>
      <c r="B53" s="0" t="s">
        <v>711</v>
      </c>
      <c r="C53" s="0" t="s">
        <v>712</v>
      </c>
    </row>
    <row r="54" customFormat="false" ht="12.75" hidden="false" customHeight="false" outlineLevel="0" collapsed="false">
      <c r="A54" s="0" t="s">
        <v>713</v>
      </c>
      <c r="B54" s="0" t="s">
        <v>714</v>
      </c>
    </row>
    <row r="55" customFormat="false" ht="12.75" hidden="false" customHeight="false" outlineLevel="0" collapsed="false">
      <c r="A55" s="0" t="s">
        <v>263</v>
      </c>
      <c r="B55" s="0" t="s">
        <v>715</v>
      </c>
    </row>
    <row r="56" customFormat="false" ht="12.75" hidden="false" customHeight="false" outlineLevel="0" collapsed="false">
      <c r="A56" s="0" t="s">
        <v>716</v>
      </c>
      <c r="B56" s="0" t="s">
        <v>717</v>
      </c>
      <c r="C56" s="0" t="s">
        <v>718</v>
      </c>
    </row>
    <row r="57" customFormat="false" ht="12.75" hidden="false" customHeight="false" outlineLevel="0" collapsed="false">
      <c r="A57" s="0" t="s">
        <v>719</v>
      </c>
      <c r="B57" s="0" t="s">
        <v>720</v>
      </c>
      <c r="C57" s="0" t="s">
        <v>721</v>
      </c>
    </row>
    <row r="58" customFormat="false" ht="12.75" hidden="false" customHeight="false" outlineLevel="0" collapsed="false">
      <c r="A58" s="0" t="s">
        <v>722</v>
      </c>
      <c r="B58" s="0" t="s">
        <v>723</v>
      </c>
    </row>
    <row r="59" customFormat="false" ht="12.75" hidden="false" customHeight="false" outlineLevel="0" collapsed="false">
      <c r="A59" s="0" t="s">
        <v>724</v>
      </c>
      <c r="B59" s="0" t="s">
        <v>725</v>
      </c>
      <c r="C59" s="0" t="s">
        <v>726</v>
      </c>
    </row>
    <row r="60" customFormat="false" ht="12.75" hidden="false" customHeight="false" outlineLevel="0" collapsed="false">
      <c r="A60" s="0" t="s">
        <v>727</v>
      </c>
      <c r="B60" s="0" t="s">
        <v>728</v>
      </c>
    </row>
    <row r="61" customFormat="false" ht="12.75" hidden="false" customHeight="false" outlineLevel="0" collapsed="false">
      <c r="A61" s="0" t="s">
        <v>729</v>
      </c>
      <c r="B61" s="0" t="s">
        <v>730</v>
      </c>
    </row>
    <row r="62" customFormat="false" ht="12.75" hidden="false" customHeight="false" outlineLevel="0" collapsed="false">
      <c r="A62" s="0" t="s">
        <v>731</v>
      </c>
      <c r="B62" s="0" t="s">
        <v>732</v>
      </c>
    </row>
    <row r="63" customFormat="false" ht="12.75" hidden="false" customHeight="false" outlineLevel="0" collapsed="false">
      <c r="A63" s="0" t="s">
        <v>733</v>
      </c>
      <c r="B63" s="0" t="s">
        <v>734</v>
      </c>
      <c r="C63" s="0" t="s">
        <v>735</v>
      </c>
    </row>
    <row r="64" customFormat="false" ht="12.75" hidden="false" customHeight="false" outlineLevel="0" collapsed="false">
      <c r="A64" s="0" t="s">
        <v>736</v>
      </c>
      <c r="B64" s="0" t="s">
        <v>737</v>
      </c>
    </row>
    <row r="65" customFormat="false" ht="12.75" hidden="false" customHeight="false" outlineLevel="0" collapsed="false">
      <c r="A65" s="0" t="s">
        <v>738</v>
      </c>
      <c r="B65" s="0" t="s">
        <v>739</v>
      </c>
    </row>
    <row r="66" customFormat="false" ht="12.75" hidden="false" customHeight="false" outlineLevel="0" collapsed="false">
      <c r="A66" s="0" t="s">
        <v>740</v>
      </c>
      <c r="B66" s="0" t="s">
        <v>741</v>
      </c>
    </row>
    <row r="67" customFormat="false" ht="12.75" hidden="false" customHeight="false" outlineLevel="0" collapsed="false">
      <c r="A67" s="0" t="s">
        <v>742</v>
      </c>
      <c r="B67" s="0" t="s">
        <v>743</v>
      </c>
    </row>
    <row r="68" customFormat="false" ht="12.75" hidden="false" customHeight="false" outlineLevel="0" collapsed="false">
      <c r="A68" s="0" t="s">
        <v>249</v>
      </c>
      <c r="B68" s="0" t="s">
        <v>744</v>
      </c>
    </row>
    <row r="69" customFormat="false" ht="12.75" hidden="false" customHeight="false" outlineLevel="0" collapsed="false">
      <c r="A69" s="0" t="s">
        <v>745</v>
      </c>
      <c r="B69" s="0" t="s">
        <v>746</v>
      </c>
    </row>
    <row r="70" customFormat="false" ht="12.75" hidden="false" customHeight="false" outlineLevel="0" collapsed="false">
      <c r="A70" s="0" t="s">
        <v>747</v>
      </c>
      <c r="B70" s="0" t="s">
        <v>748</v>
      </c>
    </row>
    <row r="71" customFormat="false" ht="12.75" hidden="false" customHeight="false" outlineLevel="0" collapsed="false">
      <c r="A71" s="0" t="s">
        <v>749</v>
      </c>
      <c r="B71" s="0" t="s">
        <v>750</v>
      </c>
    </row>
    <row r="72" customFormat="false" ht="12.75" hidden="false" customHeight="false" outlineLevel="0" collapsed="false">
      <c r="A72" s="0" t="s">
        <v>751</v>
      </c>
      <c r="B72" s="0" t="s">
        <v>752</v>
      </c>
    </row>
    <row r="73" customFormat="false" ht="12.75" hidden="false" customHeight="false" outlineLevel="0" collapsed="false">
      <c r="A73" s="0" t="s">
        <v>753</v>
      </c>
      <c r="B73" s="0" t="s">
        <v>754</v>
      </c>
    </row>
    <row r="74" customFormat="false" ht="12.75" hidden="false" customHeight="false" outlineLevel="0" collapsed="false">
      <c r="A74" s="0" t="s">
        <v>755</v>
      </c>
      <c r="B74" s="0" t="s">
        <v>756</v>
      </c>
    </row>
    <row r="75" customFormat="false" ht="12.75" hidden="false" customHeight="false" outlineLevel="0" collapsed="false">
      <c r="A75" s="0" t="s">
        <v>757</v>
      </c>
      <c r="B75" s="0" t="s">
        <v>758</v>
      </c>
    </row>
    <row r="76" customFormat="false" ht="12.75" hidden="false" customHeight="false" outlineLevel="0" collapsed="false">
      <c r="A76" s="0" t="s">
        <v>759</v>
      </c>
      <c r="B76" s="0" t="s">
        <v>760</v>
      </c>
    </row>
    <row r="77" customFormat="false" ht="12.75" hidden="false" customHeight="false" outlineLevel="0" collapsed="false">
      <c r="A77" s="0" t="s">
        <v>761</v>
      </c>
      <c r="B77" s="0" t="s">
        <v>762</v>
      </c>
    </row>
    <row r="78" customFormat="false" ht="12.75" hidden="false" customHeight="false" outlineLevel="0" collapsed="false">
      <c r="A78" s="0" t="s">
        <v>763</v>
      </c>
      <c r="B78" s="0" t="s">
        <v>764</v>
      </c>
    </row>
    <row r="79" customFormat="false" ht="12.75" hidden="false" customHeight="false" outlineLevel="0" collapsed="false">
      <c r="A79" s="0" t="s">
        <v>765</v>
      </c>
      <c r="B79" s="0" t="s">
        <v>766</v>
      </c>
      <c r="C79" s="0" t="s">
        <v>767</v>
      </c>
    </row>
    <row r="80" customFormat="false" ht="12.75" hidden="false" customHeight="false" outlineLevel="0" collapsed="false">
      <c r="A80" s="0" t="s">
        <v>768</v>
      </c>
      <c r="B80" s="0" t="s">
        <v>769</v>
      </c>
    </row>
    <row r="81" customFormat="false" ht="12.75" hidden="false" customHeight="false" outlineLevel="0" collapsed="false">
      <c r="A81" s="0" t="s">
        <v>770</v>
      </c>
      <c r="B81" s="0" t="s">
        <v>771</v>
      </c>
    </row>
    <row r="82" customFormat="false" ht="12.75" hidden="false" customHeight="false" outlineLevel="0" collapsed="false">
      <c r="A82" s="0" t="s">
        <v>772</v>
      </c>
      <c r="B82" s="0" t="s">
        <v>773</v>
      </c>
    </row>
    <row r="83" customFormat="false" ht="12.75" hidden="false" customHeight="false" outlineLevel="0" collapsed="false">
      <c r="A83" s="0" t="s">
        <v>774</v>
      </c>
      <c r="B83" s="0" t="s">
        <v>775</v>
      </c>
      <c r="C83" s="0" t="s">
        <v>776</v>
      </c>
    </row>
    <row r="84" customFormat="false" ht="12.75" hidden="false" customHeight="false" outlineLevel="0" collapsed="false">
      <c r="A84" s="0" t="s">
        <v>777</v>
      </c>
      <c r="B84" s="0" t="s">
        <v>778</v>
      </c>
      <c r="C84" s="0" t="s">
        <v>779</v>
      </c>
    </row>
    <row r="85" customFormat="false" ht="12.75" hidden="false" customHeight="false" outlineLevel="0" collapsed="false">
      <c r="A85" s="0" t="s">
        <v>780</v>
      </c>
      <c r="B85" s="0" t="s">
        <v>781</v>
      </c>
    </row>
    <row r="86" customFormat="false" ht="12.75" hidden="false" customHeight="false" outlineLevel="0" collapsed="false">
      <c r="A86" s="0" t="s">
        <v>782</v>
      </c>
      <c r="B86" s="0" t="s">
        <v>783</v>
      </c>
    </row>
    <row r="87" customFormat="false" ht="12.75" hidden="false" customHeight="false" outlineLevel="0" collapsed="false">
      <c r="A87" s="0" t="s">
        <v>784</v>
      </c>
      <c r="B87" s="0" t="s">
        <v>785</v>
      </c>
    </row>
    <row r="88" customFormat="false" ht="12.75" hidden="false" customHeight="false" outlineLevel="0" collapsed="false">
      <c r="A88" s="0" t="s">
        <v>786</v>
      </c>
      <c r="B88" s="0" t="s">
        <v>787</v>
      </c>
    </row>
    <row r="89" customFormat="false" ht="12.75" hidden="false" customHeight="false" outlineLevel="0" collapsed="false">
      <c r="A89" s="0" t="s">
        <v>788</v>
      </c>
      <c r="B89" s="0" t="s">
        <v>789</v>
      </c>
    </row>
    <row r="90" customFormat="false" ht="12.75" hidden="false" customHeight="false" outlineLevel="0" collapsed="false">
      <c r="A90" s="0" t="s">
        <v>790</v>
      </c>
      <c r="B90" s="0" t="s">
        <v>791</v>
      </c>
    </row>
    <row r="91" customFormat="false" ht="12.75" hidden="false" customHeight="false" outlineLevel="0" collapsed="false">
      <c r="A91" s="0" t="s">
        <v>792</v>
      </c>
      <c r="B91" s="0" t="s">
        <v>793</v>
      </c>
    </row>
    <row r="92" customFormat="false" ht="12.75" hidden="false" customHeight="false" outlineLevel="0" collapsed="false">
      <c r="A92" s="0" t="s">
        <v>237</v>
      </c>
      <c r="B92" s="0" t="s">
        <v>794</v>
      </c>
    </row>
    <row r="93" customFormat="false" ht="12.75" hidden="false" customHeight="false" outlineLevel="0" collapsed="false">
      <c r="A93" s="0" t="s">
        <v>795</v>
      </c>
      <c r="B93" s="0" t="s">
        <v>796</v>
      </c>
    </row>
    <row r="94" customFormat="false" ht="12.75" hidden="false" customHeight="false" outlineLevel="0" collapsed="false">
      <c r="A94" s="0" t="s">
        <v>797</v>
      </c>
      <c r="B94" s="0" t="s">
        <v>798</v>
      </c>
    </row>
    <row r="95" customFormat="false" ht="12.75" hidden="false" customHeight="false" outlineLevel="0" collapsed="false">
      <c r="A95" s="0" t="s">
        <v>799</v>
      </c>
      <c r="B95" s="0" t="s">
        <v>800</v>
      </c>
    </row>
    <row r="96" customFormat="false" ht="12.75" hidden="false" customHeight="false" outlineLevel="0" collapsed="false">
      <c r="A96" s="0" t="s">
        <v>801</v>
      </c>
      <c r="B96" s="0" t="s">
        <v>802</v>
      </c>
    </row>
    <row r="97" customFormat="false" ht="12.75" hidden="false" customHeight="false" outlineLevel="0" collapsed="false">
      <c r="A97" s="0" t="s">
        <v>803</v>
      </c>
      <c r="B97" s="0" t="s">
        <v>804</v>
      </c>
    </row>
    <row r="98" customFormat="false" ht="12.75" hidden="false" customHeight="false" outlineLevel="0" collapsed="false">
      <c r="A98" s="0" t="s">
        <v>805</v>
      </c>
      <c r="B98" s="0" t="s">
        <v>806</v>
      </c>
    </row>
    <row r="99" customFormat="false" ht="12.75" hidden="false" customHeight="false" outlineLevel="0" collapsed="false">
      <c r="A99" s="0" t="s">
        <v>807</v>
      </c>
      <c r="B99" s="0" t="s">
        <v>808</v>
      </c>
      <c r="C99" s="0" t="s">
        <v>809</v>
      </c>
    </row>
    <row r="100" customFormat="false" ht="12.75" hidden="false" customHeight="false" outlineLevel="0" collapsed="false">
      <c r="A100" s="0" t="s">
        <v>352</v>
      </c>
      <c r="B100" s="0" t="s">
        <v>810</v>
      </c>
    </row>
    <row r="101" customFormat="false" ht="12.75" hidden="false" customHeight="false" outlineLevel="0" collapsed="false">
      <c r="A101" s="0" t="s">
        <v>811</v>
      </c>
      <c r="B101" s="0" t="s">
        <v>812</v>
      </c>
    </row>
    <row r="102" customFormat="false" ht="12.75" hidden="false" customHeight="false" outlineLevel="0" collapsed="false">
      <c r="A102" s="0" t="s">
        <v>813</v>
      </c>
      <c r="B102" s="0" t="s">
        <v>814</v>
      </c>
    </row>
    <row r="103" customFormat="false" ht="12.75" hidden="false" customHeight="false" outlineLevel="0" collapsed="false">
      <c r="A103" s="0" t="s">
        <v>815</v>
      </c>
      <c r="B103" s="0" t="s">
        <v>816</v>
      </c>
    </row>
    <row r="104" customFormat="false" ht="12.75" hidden="false" customHeight="false" outlineLevel="0" collapsed="false">
      <c r="A104" s="0" t="s">
        <v>817</v>
      </c>
      <c r="B104" s="0" t="s">
        <v>818</v>
      </c>
    </row>
    <row r="105" customFormat="false" ht="12.75" hidden="false" customHeight="false" outlineLevel="0" collapsed="false">
      <c r="A105" s="0" t="s">
        <v>819</v>
      </c>
      <c r="B105" s="0" t="s">
        <v>820</v>
      </c>
    </row>
    <row r="106" customFormat="false" ht="12.75" hidden="false" customHeight="false" outlineLevel="0" collapsed="false">
      <c r="A106" s="0" t="s">
        <v>821</v>
      </c>
      <c r="B106" s="0" t="s">
        <v>822</v>
      </c>
    </row>
    <row r="107" customFormat="false" ht="12.75" hidden="false" customHeight="false" outlineLevel="0" collapsed="false">
      <c r="A107" s="0" t="s">
        <v>823</v>
      </c>
      <c r="B107" s="0" t="s">
        <v>824</v>
      </c>
    </row>
    <row r="108" customFormat="false" ht="12.75" hidden="false" customHeight="false" outlineLevel="0" collapsed="false">
      <c r="A108" s="0" t="s">
        <v>825</v>
      </c>
      <c r="B108" s="0" t="s">
        <v>826</v>
      </c>
    </row>
    <row r="109" customFormat="false" ht="12.75" hidden="false" customHeight="false" outlineLevel="0" collapsed="false">
      <c r="A109" s="0" t="s">
        <v>827</v>
      </c>
      <c r="B109" s="0" t="s">
        <v>828</v>
      </c>
    </row>
    <row r="110" customFormat="false" ht="12.75" hidden="false" customHeight="false" outlineLevel="0" collapsed="false">
      <c r="A110" s="0" t="s">
        <v>829</v>
      </c>
      <c r="B110" s="0" t="s">
        <v>830</v>
      </c>
    </row>
    <row r="111" customFormat="false" ht="12.75" hidden="false" customHeight="false" outlineLevel="0" collapsed="false">
      <c r="A111" s="0" t="s">
        <v>831</v>
      </c>
      <c r="B111" s="0" t="s">
        <v>832</v>
      </c>
    </row>
    <row r="112" customFormat="false" ht="12.75" hidden="false" customHeight="false" outlineLevel="0" collapsed="false">
      <c r="A112" s="0" t="s">
        <v>833</v>
      </c>
      <c r="B112" s="0" t="s">
        <v>834</v>
      </c>
    </row>
    <row r="113" customFormat="false" ht="12.75" hidden="false" customHeight="false" outlineLevel="0" collapsed="false">
      <c r="A113" s="0" t="s">
        <v>835</v>
      </c>
      <c r="B113" s="0" t="s">
        <v>836</v>
      </c>
    </row>
    <row r="114" customFormat="false" ht="12.75" hidden="false" customHeight="false" outlineLevel="0" collapsed="false">
      <c r="A114" s="0" t="s">
        <v>837</v>
      </c>
      <c r="B114" s="0" t="s">
        <v>838</v>
      </c>
    </row>
    <row r="115" customFormat="false" ht="12.75" hidden="false" customHeight="false" outlineLevel="0" collapsed="false">
      <c r="A115" s="0" t="s">
        <v>839</v>
      </c>
      <c r="B115" s="0" t="s">
        <v>840</v>
      </c>
    </row>
    <row r="116" customFormat="false" ht="12.75" hidden="false" customHeight="false" outlineLevel="0" collapsed="false">
      <c r="A116" s="0" t="s">
        <v>841</v>
      </c>
      <c r="B116" s="0" t="s">
        <v>842</v>
      </c>
      <c r="C116" s="0" t="s">
        <v>843</v>
      </c>
    </row>
    <row r="117" customFormat="false" ht="12.75" hidden="false" customHeight="false" outlineLevel="0" collapsed="false">
      <c r="A117" s="0" t="s">
        <v>844</v>
      </c>
      <c r="B117" s="0" t="s">
        <v>845</v>
      </c>
    </row>
    <row r="118" customFormat="false" ht="12.75" hidden="false" customHeight="false" outlineLevel="0" collapsed="false">
      <c r="A118" s="0" t="s">
        <v>846</v>
      </c>
      <c r="B118" s="0" t="s">
        <v>847</v>
      </c>
    </row>
    <row r="119" customFormat="false" ht="12.75" hidden="false" customHeight="false" outlineLevel="0" collapsed="false">
      <c r="A119" s="0" t="s">
        <v>848</v>
      </c>
      <c r="B119" s="0" t="s">
        <v>849</v>
      </c>
    </row>
    <row r="120" customFormat="false" ht="12.75" hidden="false" customHeight="false" outlineLevel="0" collapsed="false">
      <c r="A120" s="0" t="s">
        <v>850</v>
      </c>
      <c r="B120" s="0" t="s">
        <v>851</v>
      </c>
    </row>
    <row r="121" customFormat="false" ht="12.75" hidden="false" customHeight="false" outlineLevel="0" collapsed="false">
      <c r="A121" s="0" t="s">
        <v>852</v>
      </c>
      <c r="B121" s="0" t="s">
        <v>853</v>
      </c>
    </row>
    <row r="122" customFormat="false" ht="12.75" hidden="false" customHeight="false" outlineLevel="0" collapsed="false">
      <c r="A122" s="0" t="s">
        <v>854</v>
      </c>
      <c r="B122" s="0" t="s">
        <v>855</v>
      </c>
    </row>
    <row r="123" customFormat="false" ht="12.75" hidden="false" customHeight="false" outlineLevel="0" collapsed="false">
      <c r="A123" s="0" t="s">
        <v>856</v>
      </c>
      <c r="B123" s="0" t="s">
        <v>857</v>
      </c>
    </row>
    <row r="124" customFormat="false" ht="12.75" hidden="false" customHeight="false" outlineLevel="0" collapsed="false">
      <c r="A124" s="0" t="s">
        <v>858</v>
      </c>
      <c r="B124" s="0" t="s">
        <v>859</v>
      </c>
    </row>
    <row r="125" customFormat="false" ht="12.75" hidden="false" customHeight="false" outlineLevel="0" collapsed="false">
      <c r="A125" s="0" t="s">
        <v>860</v>
      </c>
      <c r="B125" s="0" t="s">
        <v>861</v>
      </c>
    </row>
    <row r="126" customFormat="false" ht="12.75" hidden="false" customHeight="false" outlineLevel="0" collapsed="false">
      <c r="A126" s="0" t="s">
        <v>862</v>
      </c>
      <c r="B126" s="0" t="s">
        <v>863</v>
      </c>
    </row>
    <row r="127" customFormat="false" ht="12.75" hidden="false" customHeight="false" outlineLevel="0" collapsed="false">
      <c r="A127" s="0" t="s">
        <v>864</v>
      </c>
      <c r="B127" s="0" t="s">
        <v>865</v>
      </c>
    </row>
    <row r="128" customFormat="false" ht="12.75" hidden="false" customHeight="false" outlineLevel="0" collapsed="false">
      <c r="A128" s="0" t="s">
        <v>866</v>
      </c>
      <c r="B128" s="0" t="s">
        <v>867</v>
      </c>
    </row>
    <row r="129" customFormat="false" ht="12.75" hidden="false" customHeight="false" outlineLevel="0" collapsed="false">
      <c r="A129" s="0" t="s">
        <v>868</v>
      </c>
      <c r="B129" s="0" t="s">
        <v>869</v>
      </c>
    </row>
    <row r="130" customFormat="false" ht="12.75" hidden="false" customHeight="false" outlineLevel="0" collapsed="false">
      <c r="A130" s="0" t="s">
        <v>870</v>
      </c>
      <c r="B130" s="0" t="s">
        <v>871</v>
      </c>
    </row>
    <row r="131" customFormat="false" ht="12.75" hidden="false" customHeight="false" outlineLevel="0" collapsed="false">
      <c r="A131" s="0" t="s">
        <v>872</v>
      </c>
      <c r="B131" s="0" t="s">
        <v>873</v>
      </c>
    </row>
    <row r="132" customFormat="false" ht="12.75" hidden="false" customHeight="false" outlineLevel="0" collapsed="false">
      <c r="A132" s="0" t="s">
        <v>874</v>
      </c>
      <c r="B132" s="0" t="s">
        <v>875</v>
      </c>
      <c r="C132" s="0" t="s">
        <v>876</v>
      </c>
    </row>
    <row r="133" customFormat="false" ht="12.75" hidden="false" customHeight="false" outlineLevel="0" collapsed="false">
      <c r="A133" s="0" t="s">
        <v>877</v>
      </c>
      <c r="B133" s="0" t="s">
        <v>878</v>
      </c>
    </row>
    <row r="134" customFormat="false" ht="12.75" hidden="false" customHeight="false" outlineLevel="0" collapsed="false">
      <c r="A134" s="0" t="s">
        <v>77</v>
      </c>
      <c r="B134" s="0" t="s">
        <v>879</v>
      </c>
    </row>
    <row r="135" customFormat="false" ht="12.75" hidden="false" customHeight="false" outlineLevel="0" collapsed="false">
      <c r="A135" s="0" t="s">
        <v>880</v>
      </c>
      <c r="B135" s="0" t="s">
        <v>881</v>
      </c>
    </row>
    <row r="136" customFormat="false" ht="12.75" hidden="false" customHeight="false" outlineLevel="0" collapsed="false">
      <c r="A136" s="0" t="s">
        <v>370</v>
      </c>
      <c r="B136" s="0" t="s">
        <v>882</v>
      </c>
    </row>
    <row r="137" customFormat="false" ht="12.75" hidden="false" customHeight="false" outlineLevel="0" collapsed="false">
      <c r="A137" s="0" t="s">
        <v>883</v>
      </c>
      <c r="B137" s="0" t="s">
        <v>884</v>
      </c>
    </row>
    <row r="138" customFormat="false" ht="12.75" hidden="false" customHeight="false" outlineLevel="0" collapsed="false">
      <c r="A138" s="0" t="s">
        <v>885</v>
      </c>
      <c r="B138" s="0" t="s">
        <v>886</v>
      </c>
    </row>
    <row r="139" customFormat="false" ht="12.75" hidden="false" customHeight="false" outlineLevel="0" collapsed="false">
      <c r="A139" s="0" t="s">
        <v>887</v>
      </c>
      <c r="B139" s="0" t="s">
        <v>888</v>
      </c>
    </row>
    <row r="140" customFormat="false" ht="12.75" hidden="false" customHeight="false" outlineLevel="0" collapsed="false">
      <c r="A140" s="0" t="s">
        <v>889</v>
      </c>
      <c r="B140" s="0" t="s">
        <v>890</v>
      </c>
    </row>
    <row r="141" customFormat="false" ht="12.75" hidden="false" customHeight="false" outlineLevel="0" collapsed="false">
      <c r="A141" s="0" t="s">
        <v>891</v>
      </c>
      <c r="B141" s="0" t="s">
        <v>892</v>
      </c>
    </row>
    <row r="142" customFormat="false" ht="12.75" hidden="false" customHeight="false" outlineLevel="0" collapsed="false">
      <c r="A142" s="0" t="s">
        <v>893</v>
      </c>
      <c r="B142" s="0" t="s">
        <v>894</v>
      </c>
    </row>
    <row r="143" customFormat="false" ht="12.75" hidden="false" customHeight="false" outlineLevel="0" collapsed="false">
      <c r="A143" s="0" t="s">
        <v>895</v>
      </c>
      <c r="B143" s="0" t="s">
        <v>896</v>
      </c>
    </row>
    <row r="144" customFormat="false" ht="12.75" hidden="false" customHeight="false" outlineLevel="0" collapsed="false">
      <c r="A144" s="0" t="s">
        <v>897</v>
      </c>
      <c r="B144" s="0" t="s">
        <v>898</v>
      </c>
    </row>
    <row r="145" customFormat="false" ht="12.75" hidden="false" customHeight="false" outlineLevel="0" collapsed="false">
      <c r="A145" s="0" t="s">
        <v>195</v>
      </c>
      <c r="B145" s="0" t="s">
        <v>899</v>
      </c>
    </row>
    <row r="146" customFormat="false" ht="12.75" hidden="false" customHeight="false" outlineLevel="0" collapsed="false">
      <c r="A146" s="0" t="s">
        <v>900</v>
      </c>
      <c r="B146" s="0" t="s">
        <v>901</v>
      </c>
    </row>
    <row r="147" customFormat="false" ht="12.75" hidden="false" customHeight="false" outlineLevel="0" collapsed="false">
      <c r="A147" s="0" t="s">
        <v>902</v>
      </c>
      <c r="B147" s="0" t="s">
        <v>903</v>
      </c>
    </row>
    <row r="148" customFormat="false" ht="12.75" hidden="false" customHeight="false" outlineLevel="0" collapsed="false">
      <c r="A148" s="0" t="s">
        <v>904</v>
      </c>
      <c r="B148" s="0" t="s">
        <v>905</v>
      </c>
    </row>
    <row r="149" customFormat="false" ht="12.75" hidden="false" customHeight="false" outlineLevel="0" collapsed="false">
      <c r="A149" s="0" t="s">
        <v>906</v>
      </c>
      <c r="B149" s="0" t="s">
        <v>907</v>
      </c>
    </row>
    <row r="150" customFormat="false" ht="12.75" hidden="false" customHeight="false" outlineLevel="0" collapsed="false">
      <c r="A150" s="0" t="s">
        <v>908</v>
      </c>
      <c r="B150" s="0" t="s">
        <v>909</v>
      </c>
      <c r="C150" s="12"/>
    </row>
    <row r="151" customFormat="false" ht="12.75" hidden="false" customHeight="false" outlineLevel="0" collapsed="false">
      <c r="A151" s="0" t="s">
        <v>910</v>
      </c>
      <c r="B151" s="0" t="s">
        <v>911</v>
      </c>
    </row>
    <row r="152" customFormat="false" ht="12.75" hidden="false" customHeight="false" outlineLevel="0" collapsed="false">
      <c r="A152" s="0" t="s">
        <v>912</v>
      </c>
      <c r="B152" s="0" t="s">
        <v>913</v>
      </c>
    </row>
    <row r="153" customFormat="false" ht="12.75" hidden="false" customHeight="false" outlineLevel="0" collapsed="false">
      <c r="A153" s="0" t="s">
        <v>914</v>
      </c>
      <c r="B153" s="0" t="s">
        <v>915</v>
      </c>
    </row>
    <row r="154" customFormat="false" ht="12.75" hidden="false" customHeight="false" outlineLevel="0" collapsed="false">
      <c r="A154" s="0" t="s">
        <v>916</v>
      </c>
      <c r="B154" s="0" t="s">
        <v>917</v>
      </c>
      <c r="C154" s="0" t="s">
        <v>918</v>
      </c>
    </row>
    <row r="155" customFormat="false" ht="12.75" hidden="false" customHeight="false" outlineLevel="0" collapsed="false">
      <c r="A155" s="0" t="s">
        <v>919</v>
      </c>
      <c r="B155" s="0" t="s">
        <v>920</v>
      </c>
    </row>
    <row r="156" customFormat="false" ht="12.75" hidden="false" customHeight="false" outlineLevel="0" collapsed="false">
      <c r="A156" s="0" t="s">
        <v>921</v>
      </c>
      <c r="B156" s="0" t="s">
        <v>922</v>
      </c>
    </row>
    <row r="157" customFormat="false" ht="12.75" hidden="false" customHeight="false" outlineLevel="0" collapsed="false">
      <c r="A157" s="0" t="s">
        <v>923</v>
      </c>
      <c r="B157" s="0" t="s">
        <v>924</v>
      </c>
    </row>
    <row r="158" customFormat="false" ht="12.75" hidden="false" customHeight="false" outlineLevel="0" collapsed="false">
      <c r="A158" s="0" t="s">
        <v>925</v>
      </c>
      <c r="B158" s="0" t="s">
        <v>926</v>
      </c>
    </row>
    <row r="159" customFormat="false" ht="12.75" hidden="false" customHeight="false" outlineLevel="0" collapsed="false">
      <c r="A159" s="0" t="s">
        <v>927</v>
      </c>
      <c r="B159" s="0" t="s">
        <v>928</v>
      </c>
    </row>
    <row r="160" customFormat="false" ht="12.75" hidden="false" customHeight="false" outlineLevel="0" collapsed="false">
      <c r="A160" s="0" t="s">
        <v>929</v>
      </c>
      <c r="B160" s="0" t="s">
        <v>930</v>
      </c>
    </row>
    <row r="161" customFormat="false" ht="12.75" hidden="false" customHeight="false" outlineLevel="0" collapsed="false">
      <c r="A161" s="0" t="s">
        <v>311</v>
      </c>
      <c r="B161" s="0" t="s">
        <v>931</v>
      </c>
    </row>
    <row r="162" customFormat="false" ht="12.75" hidden="false" customHeight="false" outlineLevel="0" collapsed="false">
      <c r="A162" s="0" t="s">
        <v>932</v>
      </c>
      <c r="B162" s="0" t="s">
        <v>933</v>
      </c>
    </row>
    <row r="163" customFormat="false" ht="12.75" hidden="false" customHeight="false" outlineLevel="0" collapsed="false">
      <c r="A163" s="0" t="s">
        <v>934</v>
      </c>
      <c r="B163" s="0" t="s">
        <v>935</v>
      </c>
    </row>
    <row r="164" customFormat="false" ht="12.75" hidden="false" customHeight="false" outlineLevel="0" collapsed="false">
      <c r="A164" s="0" t="s">
        <v>936</v>
      </c>
      <c r="B164" s="0" t="s">
        <v>937</v>
      </c>
    </row>
    <row r="165" customFormat="false" ht="12.75" hidden="false" customHeight="false" outlineLevel="0" collapsed="false">
      <c r="A165" s="0" t="s">
        <v>938</v>
      </c>
      <c r="B165" s="0" t="s">
        <v>939</v>
      </c>
    </row>
    <row r="166" customFormat="false" ht="12.75" hidden="false" customHeight="false" outlineLevel="0" collapsed="false">
      <c r="A166" s="0" t="s">
        <v>940</v>
      </c>
      <c r="B166" s="0" t="s">
        <v>941</v>
      </c>
    </row>
    <row r="167" customFormat="false" ht="12.75" hidden="false" customHeight="false" outlineLevel="0" collapsed="false">
      <c r="A167" s="0" t="s">
        <v>942</v>
      </c>
      <c r="B167" s="0" t="s">
        <v>943</v>
      </c>
    </row>
    <row r="168" customFormat="false" ht="12.75" hidden="false" customHeight="false" outlineLevel="0" collapsed="false">
      <c r="A168" s="0" t="s">
        <v>944</v>
      </c>
      <c r="B168" s="0" t="s">
        <v>945</v>
      </c>
    </row>
    <row r="169" customFormat="false" ht="12.75" hidden="false" customHeight="false" outlineLevel="0" collapsed="false">
      <c r="A169" s="0" t="s">
        <v>946</v>
      </c>
      <c r="B169" s="0" t="s">
        <v>947</v>
      </c>
    </row>
    <row r="170" customFormat="false" ht="12.75" hidden="false" customHeight="false" outlineLevel="0" collapsed="false">
      <c r="A170" s="0" t="s">
        <v>948</v>
      </c>
      <c r="B170" s="0" t="s">
        <v>949</v>
      </c>
    </row>
    <row r="171" customFormat="false" ht="12.75" hidden="false" customHeight="false" outlineLevel="0" collapsed="false">
      <c r="A171" s="0" t="s">
        <v>950</v>
      </c>
      <c r="B171" s="0" t="s">
        <v>951</v>
      </c>
      <c r="C171" s="12"/>
    </row>
    <row r="172" customFormat="false" ht="12.75" hidden="false" customHeight="false" outlineLevel="0" collapsed="false">
      <c r="A172" s="0" t="s">
        <v>952</v>
      </c>
      <c r="B172" s="0" t="s">
        <v>953</v>
      </c>
    </row>
    <row r="173" customFormat="false" ht="12.75" hidden="false" customHeight="false" outlineLevel="0" collapsed="false">
      <c r="A173" s="0" t="s">
        <v>954</v>
      </c>
      <c r="B173" s="0" t="s">
        <v>955</v>
      </c>
    </row>
    <row r="174" customFormat="false" ht="12.75" hidden="false" customHeight="false" outlineLevel="0" collapsed="false">
      <c r="A174" s="0" t="s">
        <v>956</v>
      </c>
      <c r="B174" s="0" t="s">
        <v>957</v>
      </c>
    </row>
    <row r="175" customFormat="false" ht="12.75" hidden="false" customHeight="false" outlineLevel="0" collapsed="false">
      <c r="A175" s="0" t="s">
        <v>958</v>
      </c>
      <c r="B175" s="0" t="s">
        <v>959</v>
      </c>
    </row>
    <row r="176" customFormat="false" ht="12.75" hidden="false" customHeight="false" outlineLevel="0" collapsed="false">
      <c r="A176" s="0" t="s">
        <v>960</v>
      </c>
      <c r="B176" s="0" t="s">
        <v>961</v>
      </c>
    </row>
    <row r="177" customFormat="false" ht="12.75" hidden="false" customHeight="false" outlineLevel="0" collapsed="false">
      <c r="A177" s="0" t="s">
        <v>962</v>
      </c>
      <c r="B177" s="0" t="s">
        <v>963</v>
      </c>
    </row>
    <row r="178" customFormat="false" ht="12.75" hidden="false" customHeight="false" outlineLevel="0" collapsed="false">
      <c r="A178" s="0" t="s">
        <v>964</v>
      </c>
      <c r="B178" s="0" t="s">
        <v>965</v>
      </c>
    </row>
    <row r="179" customFormat="false" ht="12.75" hidden="false" customHeight="false" outlineLevel="0" collapsed="false">
      <c r="A179" s="0" t="s">
        <v>966</v>
      </c>
      <c r="B179" s="0" t="s">
        <v>967</v>
      </c>
    </row>
    <row r="180" customFormat="false" ht="12.75" hidden="false" customHeight="false" outlineLevel="0" collapsed="false">
      <c r="A180" s="0" t="s">
        <v>968</v>
      </c>
      <c r="B180" s="0" t="s">
        <v>969</v>
      </c>
    </row>
    <row r="181" customFormat="false" ht="12.75" hidden="false" customHeight="false" outlineLevel="0" collapsed="false">
      <c r="A181" s="0" t="s">
        <v>970</v>
      </c>
      <c r="B181" s="0" t="s">
        <v>971</v>
      </c>
    </row>
    <row r="182" customFormat="false" ht="12.75" hidden="false" customHeight="false" outlineLevel="0" collapsed="false">
      <c r="A182" s="0" t="s">
        <v>972</v>
      </c>
      <c r="B182" s="0" t="s">
        <v>973</v>
      </c>
    </row>
    <row r="183" customFormat="false" ht="12.75" hidden="false" customHeight="false" outlineLevel="0" collapsed="false">
      <c r="A183" s="0" t="s">
        <v>974</v>
      </c>
      <c r="B183" s="0" t="s">
        <v>975</v>
      </c>
    </row>
    <row r="184" customFormat="false" ht="12.75" hidden="false" customHeight="false" outlineLevel="0" collapsed="false">
      <c r="A184" s="0" t="s">
        <v>976</v>
      </c>
      <c r="B184" s="0" t="s">
        <v>977</v>
      </c>
    </row>
    <row r="185" customFormat="false" ht="12.75" hidden="false" customHeight="false" outlineLevel="0" collapsed="false">
      <c r="A185" s="0" t="s">
        <v>978</v>
      </c>
      <c r="B185" s="0" t="s">
        <v>979</v>
      </c>
    </row>
    <row r="186" customFormat="false" ht="12.75" hidden="false" customHeight="false" outlineLevel="0" collapsed="false">
      <c r="A186" s="0" t="s">
        <v>980</v>
      </c>
      <c r="B186" s="0" t="s">
        <v>981</v>
      </c>
    </row>
    <row r="187" customFormat="false" ht="12.75" hidden="false" customHeight="false" outlineLevel="0" collapsed="false">
      <c r="A187" s="0" t="s">
        <v>982</v>
      </c>
      <c r="B187" s="0" t="s">
        <v>983</v>
      </c>
      <c r="C187" s="0" t="s">
        <v>984</v>
      </c>
    </row>
    <row r="188" customFormat="false" ht="12.75" hidden="false" customHeight="false" outlineLevel="0" collapsed="false">
      <c r="A188" s="0" t="s">
        <v>985</v>
      </c>
      <c r="B188" s="0" t="s">
        <v>986</v>
      </c>
      <c r="C188" s="0" t="s">
        <v>987</v>
      </c>
    </row>
    <row r="189" customFormat="false" ht="12.75" hidden="false" customHeight="false" outlineLevel="0" collapsed="false">
      <c r="A189" s="0" t="s">
        <v>988</v>
      </c>
      <c r="B189" s="0" t="s">
        <v>989</v>
      </c>
    </row>
    <row r="190" customFormat="false" ht="12.75" hidden="false" customHeight="false" outlineLevel="0" collapsed="false">
      <c r="A190" s="0" t="s">
        <v>990</v>
      </c>
      <c r="B190" s="0" t="s">
        <v>991</v>
      </c>
      <c r="C190" s="0" t="s">
        <v>992</v>
      </c>
    </row>
    <row r="191" customFormat="false" ht="12.75" hidden="false" customHeight="false" outlineLevel="0" collapsed="false">
      <c r="A191" s="0" t="s">
        <v>993</v>
      </c>
      <c r="B191" s="0" t="s">
        <v>994</v>
      </c>
    </row>
    <row r="192" customFormat="false" ht="12.75" hidden="false" customHeight="false" outlineLevel="0" collapsed="false">
      <c r="A192" s="0" t="s">
        <v>995</v>
      </c>
      <c r="B192" s="0" t="s">
        <v>996</v>
      </c>
    </row>
    <row r="193" customFormat="false" ht="12.75" hidden="false" customHeight="false" outlineLevel="0" collapsed="false">
      <c r="A193" s="0" t="s">
        <v>997</v>
      </c>
      <c r="B193" s="0" t="s">
        <v>998</v>
      </c>
    </row>
    <row r="194" customFormat="false" ht="12.75" hidden="false" customHeight="false" outlineLevel="0" collapsed="false">
      <c r="A194" s="0" t="s">
        <v>999</v>
      </c>
      <c r="B194" s="0" t="s">
        <v>1000</v>
      </c>
    </row>
    <row r="195" customFormat="false" ht="12.75" hidden="false" customHeight="false" outlineLevel="0" collapsed="false">
      <c r="A195" s="0" t="s">
        <v>1001</v>
      </c>
      <c r="B195" s="0" t="s">
        <v>1002</v>
      </c>
    </row>
    <row r="196" customFormat="false" ht="12.75" hidden="false" customHeight="false" outlineLevel="0" collapsed="false">
      <c r="A196" s="0" t="s">
        <v>329</v>
      </c>
      <c r="B196" s="0" t="s">
        <v>1003</v>
      </c>
    </row>
    <row r="197" customFormat="false" ht="12.75" hidden="false" customHeight="false" outlineLevel="0" collapsed="false">
      <c r="A197" s="0" t="s">
        <v>1004</v>
      </c>
      <c r="B197" s="0" t="s">
        <v>1005</v>
      </c>
    </row>
    <row r="198" customFormat="false" ht="12.75" hidden="false" customHeight="false" outlineLevel="0" collapsed="false">
      <c r="A198" s="0" t="s">
        <v>1006</v>
      </c>
      <c r="B198" s="0" t="s">
        <v>1007</v>
      </c>
      <c r="C198" s="12"/>
    </row>
    <row r="199" customFormat="false" ht="12.75" hidden="false" customHeight="false" outlineLevel="0" collapsed="false">
      <c r="A199" s="0" t="s">
        <v>1008</v>
      </c>
      <c r="B199" s="0" t="s">
        <v>1009</v>
      </c>
    </row>
    <row r="200" customFormat="false" ht="12.75" hidden="false" customHeight="false" outlineLevel="0" collapsed="false">
      <c r="A200" s="0" t="s">
        <v>1010</v>
      </c>
      <c r="B200" s="0" t="s">
        <v>1011</v>
      </c>
    </row>
    <row r="201" customFormat="false" ht="12.75" hidden="false" customHeight="false" outlineLevel="0" collapsed="false">
      <c r="A201" s="0" t="s">
        <v>1012</v>
      </c>
      <c r="B201" s="0" t="s">
        <v>1013</v>
      </c>
    </row>
    <row r="202" customFormat="false" ht="12.75" hidden="false" customHeight="false" outlineLevel="0" collapsed="false">
      <c r="A202" s="0" t="s">
        <v>1014</v>
      </c>
      <c r="B202" s="0" t="s">
        <v>1015</v>
      </c>
      <c r="C202" s="0" t="s">
        <v>1016</v>
      </c>
    </row>
    <row r="203" customFormat="false" ht="12.75" hidden="false" customHeight="false" outlineLevel="0" collapsed="false">
      <c r="A203" s="0" t="s">
        <v>1017</v>
      </c>
      <c r="B203" s="0" t="s">
        <v>1018</v>
      </c>
      <c r="C203" s="0" t="s">
        <v>1019</v>
      </c>
    </row>
    <row r="204" customFormat="false" ht="12.75" hidden="false" customHeight="false" outlineLevel="0" collapsed="false">
      <c r="A204" s="0" t="s">
        <v>1020</v>
      </c>
      <c r="B204" s="0" t="s">
        <v>1021</v>
      </c>
    </row>
    <row r="205" customFormat="false" ht="12.75" hidden="false" customHeight="false" outlineLevel="0" collapsed="false">
      <c r="A205" s="0" t="s">
        <v>1022</v>
      </c>
      <c r="B205" s="0" t="s">
        <v>1023</v>
      </c>
    </row>
    <row r="206" customFormat="false" ht="12.75" hidden="false" customHeight="false" outlineLevel="0" collapsed="false">
      <c r="A206" s="0" t="s">
        <v>1024</v>
      </c>
      <c r="B206" s="0" t="s">
        <v>1025</v>
      </c>
    </row>
    <row r="207" customFormat="false" ht="12.75" hidden="false" customHeight="false" outlineLevel="0" collapsed="false">
      <c r="A207" s="0" t="s">
        <v>405</v>
      </c>
      <c r="B207" s="0" t="s">
        <v>1026</v>
      </c>
      <c r="C207" s="0" t="s">
        <v>1027</v>
      </c>
    </row>
    <row r="208" customFormat="false" ht="12.75" hidden="false" customHeight="false" outlineLevel="0" collapsed="false">
      <c r="A208" s="0" t="s">
        <v>1028</v>
      </c>
      <c r="B208" s="0" t="s">
        <v>1029</v>
      </c>
    </row>
    <row r="209" customFormat="false" ht="12.75" hidden="false" customHeight="false" outlineLevel="0" collapsed="false">
      <c r="A209" s="0" t="s">
        <v>1030</v>
      </c>
      <c r="B209" s="0" t="s">
        <v>1031</v>
      </c>
    </row>
    <row r="210" customFormat="false" ht="12.75" hidden="false" customHeight="false" outlineLevel="0" collapsed="false">
      <c r="A210" s="0" t="s">
        <v>1032</v>
      </c>
      <c r="B210" s="0" t="s">
        <v>1033</v>
      </c>
      <c r="C210" s="0" t="s">
        <v>1034</v>
      </c>
    </row>
    <row r="211" customFormat="false" ht="12.75" hidden="false" customHeight="false" outlineLevel="0" collapsed="false">
      <c r="A211" s="0" t="s">
        <v>1035</v>
      </c>
      <c r="B211" s="0" t="s">
        <v>1036</v>
      </c>
    </row>
    <row r="212" customFormat="false" ht="12.75" hidden="false" customHeight="false" outlineLevel="0" collapsed="false">
      <c r="A212" s="0" t="s">
        <v>1037</v>
      </c>
      <c r="B212" s="0" t="s">
        <v>1038</v>
      </c>
    </row>
    <row r="213" customFormat="false" ht="12.75" hidden="false" customHeight="false" outlineLevel="0" collapsed="false">
      <c r="A213" s="0" t="s">
        <v>1039</v>
      </c>
      <c r="B213" s="0" t="s">
        <v>1040</v>
      </c>
    </row>
    <row r="214" customFormat="false" ht="12.75" hidden="false" customHeight="false" outlineLevel="0" collapsed="false">
      <c r="A214" s="0" t="s">
        <v>1041</v>
      </c>
      <c r="B214" s="0" t="s">
        <v>1042</v>
      </c>
      <c r="C214" s="12"/>
    </row>
    <row r="215" customFormat="false" ht="12.75" hidden="false" customHeight="false" outlineLevel="0" collapsed="false">
      <c r="A215" s="0" t="s">
        <v>1043</v>
      </c>
      <c r="B215" s="0" t="s">
        <v>1044</v>
      </c>
    </row>
    <row r="216" customFormat="false" ht="12.75" hidden="false" customHeight="false" outlineLevel="0" collapsed="false">
      <c r="A216" s="0" t="s">
        <v>1045</v>
      </c>
      <c r="B216" s="0" t="s">
        <v>1046</v>
      </c>
    </row>
    <row r="217" customFormat="false" ht="12.75" hidden="false" customHeight="false" outlineLevel="0" collapsed="false">
      <c r="A217" s="0" t="s">
        <v>1047</v>
      </c>
      <c r="B217" s="0" t="s">
        <v>1048</v>
      </c>
      <c r="C217" s="0" t="s">
        <v>1049</v>
      </c>
    </row>
    <row r="218" customFormat="false" ht="12.75" hidden="false" customHeight="false" outlineLevel="0" collapsed="false">
      <c r="A218" s="0" t="s">
        <v>1050</v>
      </c>
      <c r="B218" s="0" t="s">
        <v>1051</v>
      </c>
    </row>
    <row r="219" customFormat="false" ht="12.75" hidden="false" customHeight="false" outlineLevel="0" collapsed="false">
      <c r="A219" s="0" t="s">
        <v>1052</v>
      </c>
      <c r="B219" s="0" t="s">
        <v>1053</v>
      </c>
    </row>
    <row r="220" customFormat="false" ht="12.75" hidden="false" customHeight="false" outlineLevel="0" collapsed="false">
      <c r="A220" s="0" t="s">
        <v>1054</v>
      </c>
      <c r="B220" s="0" t="s">
        <v>1055</v>
      </c>
    </row>
    <row r="221" customFormat="false" ht="12.75" hidden="false" customHeight="false" outlineLevel="0" collapsed="false">
      <c r="A221" s="0" t="s">
        <v>1056</v>
      </c>
      <c r="B221" s="0" t="s">
        <v>1057</v>
      </c>
    </row>
    <row r="222" customFormat="false" ht="12.75" hidden="false" customHeight="false" outlineLevel="0" collapsed="false">
      <c r="A222" s="0" t="s">
        <v>1058</v>
      </c>
      <c r="B222" s="0" t="s">
        <v>1059</v>
      </c>
    </row>
    <row r="223" customFormat="false" ht="12.75" hidden="false" customHeight="false" outlineLevel="0" collapsed="false">
      <c r="A223" s="0" t="s">
        <v>1060</v>
      </c>
      <c r="B223" s="0" t="s">
        <v>1061</v>
      </c>
      <c r="C223" s="0" t="s">
        <v>1062</v>
      </c>
    </row>
    <row r="224" customFormat="false" ht="12.75" hidden="false" customHeight="false" outlineLevel="0" collapsed="false">
      <c r="A224" s="0" t="s">
        <v>1063</v>
      </c>
      <c r="B224" s="0" t="s">
        <v>1064</v>
      </c>
    </row>
    <row r="225" customFormat="false" ht="12.75" hidden="false" customHeight="false" outlineLevel="0" collapsed="false">
      <c r="A225" s="0" t="s">
        <v>1065</v>
      </c>
      <c r="B225" s="0" t="s">
        <v>1066</v>
      </c>
    </row>
    <row r="226" customFormat="false" ht="12.75" hidden="false" customHeight="false" outlineLevel="0" collapsed="false">
      <c r="A226" s="0" t="s">
        <v>1067</v>
      </c>
      <c r="B226" s="0" t="s">
        <v>1068</v>
      </c>
    </row>
    <row r="227" customFormat="false" ht="12.75" hidden="false" customHeight="false" outlineLevel="0" collapsed="false">
      <c r="A227" s="0" t="s">
        <v>1069</v>
      </c>
      <c r="B227" s="0" t="s">
        <v>1070</v>
      </c>
    </row>
    <row r="228" customFormat="false" ht="12.75" hidden="false" customHeight="false" outlineLevel="0" collapsed="false">
      <c r="A228" s="0" t="s">
        <v>1071</v>
      </c>
      <c r="B228" s="0" t="s">
        <v>1072</v>
      </c>
    </row>
    <row r="229" customFormat="false" ht="12.75" hidden="false" customHeight="false" outlineLevel="0" collapsed="false">
      <c r="A229" s="0" t="s">
        <v>1073</v>
      </c>
      <c r="B229" s="0" t="s">
        <v>1074</v>
      </c>
    </row>
    <row r="230" customFormat="false" ht="12.75" hidden="false" customHeight="false" outlineLevel="0" collapsed="false">
      <c r="A230" s="0" t="s">
        <v>1075</v>
      </c>
      <c r="B230" s="0" t="s">
        <v>1076</v>
      </c>
    </row>
    <row r="231" customFormat="false" ht="12.75" hidden="false" customHeight="false" outlineLevel="0" collapsed="false">
      <c r="A231" s="0" t="s">
        <v>1077</v>
      </c>
      <c r="B231" s="0" t="s">
        <v>1078</v>
      </c>
    </row>
    <row r="232" customFormat="false" ht="12.75" hidden="false" customHeight="false" outlineLevel="0" collapsed="false">
      <c r="A232" s="0" t="s">
        <v>1079</v>
      </c>
      <c r="B232" s="0" t="s">
        <v>1080</v>
      </c>
    </row>
    <row r="233" customFormat="false" ht="12.75" hidden="false" customHeight="false" outlineLevel="0" collapsed="false">
      <c r="A233" s="0" t="s">
        <v>1081</v>
      </c>
      <c r="B233" s="0" t="s">
        <v>1082</v>
      </c>
    </row>
    <row r="234" customFormat="false" ht="12.75" hidden="false" customHeight="false" outlineLevel="0" collapsed="false">
      <c r="A234" s="0" t="s">
        <v>1083</v>
      </c>
      <c r="B234" s="0" t="s">
        <v>1084</v>
      </c>
      <c r="C234" s="0" t="s">
        <v>1085</v>
      </c>
    </row>
    <row r="235" customFormat="false" ht="12.75" hidden="false" customHeight="false" outlineLevel="0" collapsed="false">
      <c r="A235" s="0" t="s">
        <v>1086</v>
      </c>
      <c r="B235" s="0" t="s">
        <v>1087</v>
      </c>
    </row>
    <row r="236" customFormat="false" ht="12.75" hidden="false" customHeight="false" outlineLevel="0" collapsed="false">
      <c r="A236" s="0" t="s">
        <v>1088</v>
      </c>
      <c r="B236" s="0" t="s">
        <v>1089</v>
      </c>
      <c r="C236" s="0" t="s">
        <v>1090</v>
      </c>
    </row>
    <row r="237" customFormat="false" ht="12.75" hidden="false" customHeight="false" outlineLevel="0" collapsed="false">
      <c r="A237" s="0" t="s">
        <v>42</v>
      </c>
      <c r="B237" s="0" t="s">
        <v>1091</v>
      </c>
    </row>
    <row r="238" customFormat="false" ht="12.75" hidden="false" customHeight="false" outlineLevel="0" collapsed="false">
      <c r="A238" s="0" t="s">
        <v>1092</v>
      </c>
      <c r="B238" s="0" t="s">
        <v>1093</v>
      </c>
      <c r="C238" s="0" t="s">
        <v>1094</v>
      </c>
    </row>
    <row r="239" customFormat="false" ht="12.75" hidden="false" customHeight="false" outlineLevel="0" collapsed="false">
      <c r="A239" s="0" t="s">
        <v>1095</v>
      </c>
      <c r="B239" s="0" t="s">
        <v>1096</v>
      </c>
    </row>
    <row r="240" customFormat="false" ht="12.75" hidden="false" customHeight="false" outlineLevel="0" collapsed="false">
      <c r="A240" s="0" t="s">
        <v>1097</v>
      </c>
      <c r="B240" s="0" t="s">
        <v>1098</v>
      </c>
    </row>
    <row r="241" customFormat="false" ht="12.75" hidden="false" customHeight="false" outlineLevel="0" collapsed="false">
      <c r="A241" s="0" t="s">
        <v>1099</v>
      </c>
      <c r="B241" s="0" t="s">
        <v>1100</v>
      </c>
      <c r="C241" s="0" t="s">
        <v>1101</v>
      </c>
    </row>
    <row r="242" customFormat="false" ht="12.75" hidden="false" customHeight="false" outlineLevel="0" collapsed="false">
      <c r="A242" s="0" t="s">
        <v>1102</v>
      </c>
      <c r="B242" s="0" t="s">
        <v>1103</v>
      </c>
    </row>
    <row r="243" customFormat="false" ht="12.75" hidden="false" customHeight="false" outlineLevel="0" collapsed="false">
      <c r="A243" s="0" t="s">
        <v>1104</v>
      </c>
      <c r="B243" s="0" t="s">
        <v>1105</v>
      </c>
    </row>
    <row r="244" customFormat="false" ht="12.75" hidden="false" customHeight="false" outlineLevel="0" collapsed="false">
      <c r="A244" s="0" t="s">
        <v>1106</v>
      </c>
      <c r="B244" s="0" t="s">
        <v>1107</v>
      </c>
    </row>
    <row r="245" customFormat="false" ht="12.75" hidden="false" customHeight="false" outlineLevel="0" collapsed="false">
      <c r="A245" s="0" t="s">
        <v>1108</v>
      </c>
      <c r="B245" s="0" t="s">
        <v>1109</v>
      </c>
    </row>
    <row r="246" customFormat="false" ht="12.75" hidden="false" customHeight="false" outlineLevel="0" collapsed="false">
      <c r="A246" s="0" t="s">
        <v>1110</v>
      </c>
      <c r="B246" s="0" t="s">
        <v>1111</v>
      </c>
    </row>
    <row r="247" customFormat="false" ht="12.75" hidden="false" customHeight="false" outlineLevel="0" collapsed="false">
      <c r="A247" s="0" t="s">
        <v>1112</v>
      </c>
      <c r="B247" s="0" t="s">
        <v>1113</v>
      </c>
      <c r="C247" s="0" t="s">
        <v>1114</v>
      </c>
    </row>
    <row r="248" customFormat="false" ht="12.75" hidden="false" customHeight="false" outlineLevel="0" collapsed="false">
      <c r="A248" s="0" t="s">
        <v>1115</v>
      </c>
      <c r="B248" s="0" t="s">
        <v>1116</v>
      </c>
      <c r="C248" s="0" t="s">
        <v>1117</v>
      </c>
    </row>
    <row r="249" customFormat="false" ht="12.75" hidden="false" customHeight="false" outlineLevel="0" collapsed="false">
      <c r="A249" s="0" t="s">
        <v>1118</v>
      </c>
      <c r="B249" s="0" t="s">
        <v>1119</v>
      </c>
    </row>
    <row r="250" customFormat="false" ht="12.75" hidden="false" customHeight="false" outlineLevel="0" collapsed="false">
      <c r="A250" s="0" t="s">
        <v>1120</v>
      </c>
      <c r="B250" s="0" t="s">
        <v>1121</v>
      </c>
      <c r="C250" s="0" t="s">
        <v>1122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B1" colorId="64" zoomScale="150" zoomScaleNormal="150" zoomScalePageLayoutView="100" workbookViewId="0">
      <selection pane="topLeft" activeCell="B1" activeCellId="0" sqref="B1"/>
    </sheetView>
  </sheetViews>
  <sheetFormatPr defaultColWidth="11.5078125" defaultRowHeight="12.75" zeroHeight="false" outlineLevelRow="0" outlineLevelCol="0"/>
  <cols>
    <col collapsed="false" customWidth="true" hidden="false" outlineLevel="0" max="1" min="1" style="0" width="10.66"/>
    <col collapsed="false" customWidth="true" hidden="false" outlineLevel="0" max="2" min="2" style="0" width="100.67"/>
  </cols>
  <sheetData>
    <row r="1" customFormat="false" ht="15" hidden="false" customHeight="true" outlineLevel="0" collapsed="false">
      <c r="A1" s="51" t="s">
        <v>1123</v>
      </c>
      <c r="B1" s="51" t="s">
        <v>1124</v>
      </c>
    </row>
    <row r="2" customFormat="false" ht="15.75" hidden="false" customHeight="true" outlineLevel="0" collapsed="false">
      <c r="A2" s="52" t="s">
        <v>1125</v>
      </c>
      <c r="B2" s="52" t="s">
        <v>1126</v>
      </c>
    </row>
    <row r="3" customFormat="false" ht="15.75" hidden="false" customHeight="true" outlineLevel="0" collapsed="false">
      <c r="A3" s="52" t="s">
        <v>1127</v>
      </c>
      <c r="B3" s="52" t="s">
        <v>1128</v>
      </c>
    </row>
    <row r="4" customFormat="false" ht="15.75" hidden="false" customHeight="true" outlineLevel="0" collapsed="false">
      <c r="A4" s="52" t="s">
        <v>331</v>
      </c>
      <c r="B4" s="52" t="s">
        <v>1129</v>
      </c>
    </row>
    <row r="5" customFormat="false" ht="15.75" hidden="false" customHeight="true" outlineLevel="0" collapsed="false">
      <c r="A5" s="52" t="s">
        <v>1130</v>
      </c>
      <c r="B5" s="52" t="s">
        <v>1131</v>
      </c>
    </row>
    <row r="6" customFormat="false" ht="15.75" hidden="false" customHeight="true" outlineLevel="0" collapsed="false">
      <c r="A6" s="52" t="s">
        <v>79</v>
      </c>
      <c r="B6" s="52" t="s">
        <v>1132</v>
      </c>
    </row>
    <row r="7" customFormat="false" ht="15.75" hidden="false" customHeight="true" outlineLevel="0" collapsed="false">
      <c r="A7" s="52" t="s">
        <v>372</v>
      </c>
      <c r="B7" s="52" t="s">
        <v>1133</v>
      </c>
    </row>
    <row r="8" customFormat="false" ht="15.75" hidden="false" customHeight="true" outlineLevel="0" collapsed="false">
      <c r="A8" s="52" t="s">
        <v>152</v>
      </c>
      <c r="B8" s="52" t="s">
        <v>1134</v>
      </c>
    </row>
    <row r="9" customFormat="false" ht="15.75" hidden="false" customHeight="true" outlineLevel="0" collapsed="false">
      <c r="A9" s="52" t="s">
        <v>1135</v>
      </c>
      <c r="B9" s="52" t="s">
        <v>1136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C1" colorId="64" zoomScale="200" zoomScaleNormal="200" zoomScalePageLayoutView="100" workbookViewId="0">
      <selection pane="topLeft" activeCell="E8" activeCellId="0" sqref="E8"/>
    </sheetView>
  </sheetViews>
  <sheetFormatPr defaultColWidth="8.66796875" defaultRowHeight="15.75" zeroHeight="false" outlineLevelRow="0" outlineLevelCol="0"/>
  <cols>
    <col collapsed="false" customWidth="true" hidden="false" outlineLevel="0" max="1" min="1" style="53" width="11.67"/>
    <col collapsed="false" customWidth="true" hidden="false" outlineLevel="0" max="2" min="2" style="53" width="16.5"/>
    <col collapsed="false" customWidth="true" hidden="false" outlineLevel="0" max="3" min="3" style="53" width="21.33"/>
    <col collapsed="false" customWidth="true" hidden="false" outlineLevel="0" max="4" min="4" style="53" width="22.16"/>
    <col collapsed="false" customWidth="true" hidden="false" outlineLevel="0" max="5" min="5" style="54" width="50.5"/>
    <col collapsed="false" customWidth="false" hidden="false" outlineLevel="0" max="16384" min="6" style="53" width="8.67"/>
  </cols>
  <sheetData>
    <row r="1" customFormat="false" ht="16.5" hidden="false" customHeight="true" outlineLevel="0" collapsed="false">
      <c r="A1" s="55" t="s">
        <v>1137</v>
      </c>
      <c r="B1" s="55" t="s">
        <v>1138</v>
      </c>
      <c r="C1" s="55" t="s">
        <v>1139</v>
      </c>
      <c r="D1" s="55" t="s">
        <v>1140</v>
      </c>
      <c r="E1" s="56" t="s">
        <v>1141</v>
      </c>
    </row>
    <row r="2" customFormat="false" ht="16.5" hidden="false" customHeight="true" outlineLevel="0" collapsed="false">
      <c r="A2" s="53" t="s">
        <v>1142</v>
      </c>
      <c r="B2" s="57" t="s">
        <v>1143</v>
      </c>
      <c r="C2" s="57" t="s">
        <v>1143</v>
      </c>
      <c r="D2" s="57" t="s">
        <v>1144</v>
      </c>
      <c r="E2" s="58" t="s">
        <v>1145</v>
      </c>
    </row>
    <row r="3" customFormat="false" ht="16.5" hidden="false" customHeight="true" outlineLevel="0" collapsed="false">
      <c r="A3" s="53" t="s">
        <v>1142</v>
      </c>
      <c r="B3" s="57" t="s">
        <v>1146</v>
      </c>
      <c r="C3" s="57" t="s">
        <v>1147</v>
      </c>
      <c r="D3" s="57" t="s">
        <v>1144</v>
      </c>
      <c r="E3" s="58" t="s">
        <v>1148</v>
      </c>
    </row>
    <row r="4" customFormat="false" ht="33.75" hidden="false" customHeight="true" outlineLevel="0" collapsed="false">
      <c r="A4" s="53" t="s">
        <v>1142</v>
      </c>
      <c r="B4" s="57" t="s">
        <v>1146</v>
      </c>
      <c r="C4" s="59" t="s">
        <v>1149</v>
      </c>
      <c r="D4" s="57" t="s">
        <v>1144</v>
      </c>
      <c r="E4" s="58" t="s">
        <v>1150</v>
      </c>
    </row>
    <row r="5" customFormat="false" ht="16.5" hidden="false" customHeight="true" outlineLevel="0" collapsed="false">
      <c r="A5" s="53" t="s">
        <v>1142</v>
      </c>
      <c r="B5" s="57" t="s">
        <v>1146</v>
      </c>
      <c r="C5" s="59" t="s">
        <v>1151</v>
      </c>
      <c r="D5" s="57" t="s">
        <v>1152</v>
      </c>
      <c r="E5" s="58" t="s">
        <v>1153</v>
      </c>
    </row>
    <row r="6" customFormat="false" ht="16.5" hidden="false" customHeight="true" outlineLevel="0" collapsed="false">
      <c r="A6" s="53" t="s">
        <v>1142</v>
      </c>
      <c r="B6" s="57" t="s">
        <v>1146</v>
      </c>
      <c r="C6" s="59" t="s">
        <v>1154</v>
      </c>
      <c r="D6" s="57" t="s">
        <v>1155</v>
      </c>
      <c r="E6" s="58" t="s">
        <v>1156</v>
      </c>
    </row>
    <row r="7" customFormat="false" ht="51" hidden="false" customHeight="true" outlineLevel="0" collapsed="false">
      <c r="A7" s="53" t="s">
        <v>1142</v>
      </c>
      <c r="B7" s="57" t="s">
        <v>32</v>
      </c>
      <c r="C7" s="59" t="s">
        <v>356</v>
      </c>
      <c r="D7" s="57" t="s">
        <v>1157</v>
      </c>
      <c r="E7" s="60" t="s">
        <v>1158</v>
      </c>
    </row>
    <row r="8" customFormat="false" ht="51" hidden="false" customHeight="true" outlineLevel="0" collapsed="false">
      <c r="A8" s="53" t="s">
        <v>1142</v>
      </c>
      <c r="B8" s="57" t="s">
        <v>98</v>
      </c>
      <c r="C8" s="59" t="s">
        <v>398</v>
      </c>
      <c r="D8" s="57" t="s">
        <v>1159</v>
      </c>
      <c r="E8" s="61" t="s">
        <v>1160</v>
      </c>
    </row>
    <row r="9" customFormat="false" ht="15.75" hidden="false" customHeight="false" outlineLevel="0" collapsed="false">
      <c r="A9" s="53" t="s">
        <v>1142</v>
      </c>
      <c r="B9" s="57" t="s">
        <v>46</v>
      </c>
      <c r="C9" s="62" t="s">
        <v>1161</v>
      </c>
      <c r="D9" s="53" t="s">
        <v>1162</v>
      </c>
    </row>
    <row r="10" customFormat="false" ht="33.75" hidden="false" customHeight="true" outlineLevel="0" collapsed="false">
      <c r="A10" s="53" t="s">
        <v>1142</v>
      </c>
      <c r="B10" s="57" t="s">
        <v>46</v>
      </c>
      <c r="C10" s="62" t="s">
        <v>1161</v>
      </c>
      <c r="D10" s="53" t="s">
        <v>1163</v>
      </c>
      <c r="E10" s="63" t="s">
        <v>1164</v>
      </c>
    </row>
    <row r="11" customFormat="false" ht="33.75" hidden="false" customHeight="true" outlineLevel="0" collapsed="false">
      <c r="A11" s="53" t="s">
        <v>1142</v>
      </c>
      <c r="B11" s="57" t="s">
        <v>1165</v>
      </c>
      <c r="C11" s="53" t="s">
        <v>1166</v>
      </c>
      <c r="D11" s="57" t="s">
        <v>1152</v>
      </c>
      <c r="E11" s="54" t="s">
        <v>1167</v>
      </c>
    </row>
    <row r="13" customFormat="false" ht="15.75" hidden="false" customHeight="false" outlineLevel="0" collapsed="false">
      <c r="E13" s="61"/>
    </row>
    <row r="15" customFormat="false" ht="15.75" hidden="false" customHeight="false" outlineLevel="0" collapsed="false">
      <c r="A15" s="64" t="s">
        <v>1168</v>
      </c>
    </row>
    <row r="16" customFormat="false" ht="15.75" hidden="false" customHeight="false" outlineLevel="0" collapsed="false">
      <c r="A16" s="65" t="s">
        <v>1169</v>
      </c>
    </row>
    <row r="17" customFormat="false" ht="15.75" hidden="false" customHeight="false" outlineLevel="0" collapsed="false">
      <c r="A17" s="65" t="s">
        <v>1170</v>
      </c>
    </row>
    <row r="18" customFormat="false" ht="15.75" hidden="false" customHeight="false" outlineLevel="0" collapsed="false">
      <c r="A18" s="65" t="s">
        <v>1171</v>
      </c>
    </row>
    <row r="19" customFormat="false" ht="15.75" hidden="false" customHeight="false" outlineLevel="0" collapsed="false">
      <c r="A19" s="65" t="s">
        <v>1172</v>
      </c>
    </row>
    <row r="20" customFormat="false" ht="15.75" hidden="false" customHeight="false" outlineLevel="0" collapsed="false">
      <c r="A20" s="65" t="s">
        <v>1173</v>
      </c>
    </row>
    <row r="21" customFormat="false" ht="15.75" hidden="false" customHeight="false" outlineLevel="0" collapsed="false">
      <c r="A21" s="65" t="s">
        <v>1174</v>
      </c>
    </row>
    <row r="22" customFormat="false" ht="15.75" hidden="false" customHeight="false" outlineLevel="0" collapsed="false">
      <c r="A22" s="66" t="s">
        <v>1175</v>
      </c>
    </row>
    <row r="23" customFormat="false" ht="15.75" hidden="false" customHeight="false" outlineLevel="0" collapsed="false">
      <c r="A23" s="66" t="s">
        <v>1176</v>
      </c>
    </row>
    <row r="24" customFormat="false" ht="15.75" hidden="false" customHeight="false" outlineLevel="0" collapsed="false">
      <c r="A24" s="66" t="s">
        <v>1177</v>
      </c>
    </row>
    <row r="25" customFormat="false" ht="15.75" hidden="false" customHeight="false" outlineLevel="0" collapsed="false">
      <c r="A25" s="6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true" showRowColHeaders="true" showZeros="true" rightToLeft="false" tabSelected="false" showOutlineSymbols="true" defaultGridColor="true" view="normal" topLeftCell="A29" colorId="64" zoomScale="200" zoomScaleNormal="200" zoomScalePageLayoutView="100" workbookViewId="0">
      <selection pane="topLeft" activeCell="A47" activeCellId="0" sqref="A47"/>
    </sheetView>
  </sheetViews>
  <sheetFormatPr defaultColWidth="11.5078125" defaultRowHeight="12.75" zeroHeight="false" outlineLevelRow="0" outlineLevelCol="0"/>
  <cols>
    <col collapsed="false" customWidth="true" hidden="false" outlineLevel="0" max="1" min="1" style="0" width="6.67"/>
    <col collapsed="false" customWidth="true" hidden="false" outlineLevel="0" max="2" min="2" style="0" width="74.67"/>
  </cols>
  <sheetData>
    <row r="1" customFormat="false" ht="12.75" hidden="false" customHeight="false" outlineLevel="0" collapsed="false">
      <c r="A1" s="0" t="s">
        <v>1178</v>
      </c>
      <c r="B1" s="0" t="s">
        <v>1179</v>
      </c>
    </row>
    <row r="2" customFormat="false" ht="12.75" hidden="false" customHeight="false" outlineLevel="0" collapsed="false">
      <c r="A2" s="0" t="s">
        <v>1180</v>
      </c>
      <c r="B2" s="0" t="s">
        <v>1181</v>
      </c>
    </row>
    <row r="3" customFormat="false" ht="12.75" hidden="false" customHeight="false" outlineLevel="0" collapsed="false">
      <c r="A3" s="0" t="s">
        <v>511</v>
      </c>
      <c r="B3" s="0" t="s">
        <v>1182</v>
      </c>
    </row>
    <row r="4" customFormat="false" ht="12.75" hidden="false" customHeight="false" outlineLevel="0" collapsed="false">
      <c r="A4" s="0" t="s">
        <v>1183</v>
      </c>
      <c r="B4" s="0" t="s">
        <v>1184</v>
      </c>
    </row>
    <row r="5" customFormat="false" ht="12.75" hidden="false" customHeight="false" outlineLevel="0" collapsed="false">
      <c r="A5" s="0" t="s">
        <v>486</v>
      </c>
      <c r="B5" s="0" t="s">
        <v>1185</v>
      </c>
    </row>
    <row r="6" customFormat="false" ht="12.75" hidden="false" customHeight="false" outlineLevel="0" collapsed="false">
      <c r="A6" s="0" t="s">
        <v>1186</v>
      </c>
      <c r="B6" s="0" t="s">
        <v>1187</v>
      </c>
    </row>
    <row r="7" customFormat="false" ht="12.75" hidden="false" customHeight="false" outlineLevel="0" collapsed="false">
      <c r="A7" s="0" t="s">
        <v>1188</v>
      </c>
      <c r="B7" s="0" t="s">
        <v>1189</v>
      </c>
    </row>
    <row r="8" customFormat="false" ht="12.75" hidden="false" customHeight="false" outlineLevel="0" collapsed="false">
      <c r="A8" s="0" t="s">
        <v>1190</v>
      </c>
      <c r="B8" s="0" t="s">
        <v>1191</v>
      </c>
    </row>
    <row r="9" customFormat="false" ht="12.75" hidden="false" customHeight="false" outlineLevel="0" collapsed="false">
      <c r="A9" s="0" t="s">
        <v>1192</v>
      </c>
      <c r="B9" s="0" t="s">
        <v>1193</v>
      </c>
    </row>
    <row r="10" customFormat="false" ht="12.75" hidden="false" customHeight="false" outlineLevel="0" collapsed="false">
      <c r="A10" s="0" t="s">
        <v>1194</v>
      </c>
      <c r="B10" s="0" t="s">
        <v>1195</v>
      </c>
    </row>
    <row r="11" customFormat="false" ht="12.75" hidden="false" customHeight="false" outlineLevel="0" collapsed="false">
      <c r="A11" s="0" t="s">
        <v>1196</v>
      </c>
      <c r="B11" s="0" t="s">
        <v>1197</v>
      </c>
    </row>
    <row r="12" customFormat="false" ht="12.75" hidden="false" customHeight="false" outlineLevel="0" collapsed="false">
      <c r="A12" s="0" t="s">
        <v>1198</v>
      </c>
      <c r="B12" s="0" t="s">
        <v>1199</v>
      </c>
    </row>
    <row r="13" customFormat="false" ht="12.75" hidden="false" customHeight="false" outlineLevel="0" collapsed="false">
      <c r="A13" s="0" t="s">
        <v>1200</v>
      </c>
      <c r="B13" s="0" t="s">
        <v>1201</v>
      </c>
    </row>
    <row r="14" customFormat="false" ht="12.75" hidden="false" customHeight="false" outlineLevel="0" collapsed="false">
      <c r="A14" s="0" t="s">
        <v>1202</v>
      </c>
      <c r="B14" s="0" t="s">
        <v>1203</v>
      </c>
    </row>
    <row r="15" customFormat="false" ht="12.75" hidden="false" customHeight="false" outlineLevel="0" collapsed="false">
      <c r="A15" s="0" t="s">
        <v>1204</v>
      </c>
      <c r="B15" s="0" t="s">
        <v>1205</v>
      </c>
    </row>
    <row r="16" customFormat="false" ht="12.75" hidden="false" customHeight="false" outlineLevel="0" collapsed="false">
      <c r="A16" s="0" t="s">
        <v>1206</v>
      </c>
      <c r="B16" s="0" t="s">
        <v>1207</v>
      </c>
    </row>
    <row r="17" customFormat="false" ht="12.75" hidden="false" customHeight="false" outlineLevel="0" collapsed="false">
      <c r="A17" s="0" t="s">
        <v>1208</v>
      </c>
      <c r="B17" s="0" t="s">
        <v>1209</v>
      </c>
    </row>
    <row r="18" customFormat="false" ht="12.75" hidden="false" customHeight="false" outlineLevel="0" collapsed="false">
      <c r="A18" s="0" t="s">
        <v>1210</v>
      </c>
      <c r="B18" s="0" t="s">
        <v>1211</v>
      </c>
    </row>
    <row r="19" customFormat="false" ht="12.75" hidden="false" customHeight="false" outlineLevel="0" collapsed="false">
      <c r="A19" s="0" t="s">
        <v>1212</v>
      </c>
      <c r="B19" s="0" t="s">
        <v>1213</v>
      </c>
    </row>
    <row r="20" customFormat="false" ht="12.75" hidden="false" customHeight="false" outlineLevel="0" collapsed="false">
      <c r="A20" s="0" t="s">
        <v>1214</v>
      </c>
      <c r="B20" s="0" t="s">
        <v>1215</v>
      </c>
    </row>
    <row r="21" customFormat="false" ht="12.75" hidden="false" customHeight="false" outlineLevel="0" collapsed="false">
      <c r="A21" s="0" t="s">
        <v>506</v>
      </c>
      <c r="B21" s="0" t="s">
        <v>1216</v>
      </c>
    </row>
    <row r="22" customFormat="false" ht="12.75" hidden="false" customHeight="false" outlineLevel="0" collapsed="false">
      <c r="A22" s="0" t="s">
        <v>1217</v>
      </c>
      <c r="B22" s="0" t="s">
        <v>1218</v>
      </c>
    </row>
    <row r="23" customFormat="false" ht="12.75" hidden="false" customHeight="false" outlineLevel="0" collapsed="false">
      <c r="A23" s="0" t="s">
        <v>1219</v>
      </c>
      <c r="B23" s="0" t="s">
        <v>1220</v>
      </c>
    </row>
    <row r="24" customFormat="false" ht="12.75" hidden="false" customHeight="false" outlineLevel="0" collapsed="false">
      <c r="A24" s="0" t="s">
        <v>1221</v>
      </c>
      <c r="B24" s="0" t="s">
        <v>1222</v>
      </c>
    </row>
    <row r="25" customFormat="false" ht="12.75" hidden="false" customHeight="false" outlineLevel="0" collapsed="false">
      <c r="A25" s="0" t="s">
        <v>1223</v>
      </c>
      <c r="B25" s="0" t="s">
        <v>1224</v>
      </c>
    </row>
    <row r="26" customFormat="false" ht="12.75" hidden="false" customHeight="false" outlineLevel="0" collapsed="false">
      <c r="A26" s="0" t="s">
        <v>1225</v>
      </c>
      <c r="B26" s="0" t="s">
        <v>1226</v>
      </c>
    </row>
    <row r="27" customFormat="false" ht="12.75" hidden="false" customHeight="false" outlineLevel="0" collapsed="false">
      <c r="A27" s="0" t="s">
        <v>1227</v>
      </c>
      <c r="B27" s="0" t="s">
        <v>1228</v>
      </c>
    </row>
    <row r="28" customFormat="false" ht="12.75" hidden="false" customHeight="false" outlineLevel="0" collapsed="false">
      <c r="A28" s="0" t="s">
        <v>1229</v>
      </c>
      <c r="B28" s="0" t="s">
        <v>1230</v>
      </c>
    </row>
    <row r="29" customFormat="false" ht="12.75" hidden="false" customHeight="false" outlineLevel="0" collapsed="false">
      <c r="A29" s="0" t="s">
        <v>1231</v>
      </c>
      <c r="B29" s="0" t="s">
        <v>1232</v>
      </c>
    </row>
    <row r="30" customFormat="false" ht="12.75" hidden="false" customHeight="false" outlineLevel="0" collapsed="false">
      <c r="A30" s="0" t="s">
        <v>1233</v>
      </c>
      <c r="B30" s="0" t="s">
        <v>1234</v>
      </c>
    </row>
    <row r="31" customFormat="false" ht="12.75" hidden="false" customHeight="false" outlineLevel="0" collapsed="false">
      <c r="A31" s="0" t="s">
        <v>1235</v>
      </c>
      <c r="B31" s="0" t="s">
        <v>1236</v>
      </c>
    </row>
    <row r="32" customFormat="false" ht="12.75" hidden="false" customHeight="false" outlineLevel="0" collapsed="false">
      <c r="A32" s="0" t="s">
        <v>509</v>
      </c>
      <c r="B32" s="0" t="s">
        <v>1237</v>
      </c>
    </row>
    <row r="33" customFormat="false" ht="12.75" hidden="false" customHeight="false" outlineLevel="0" collapsed="false">
      <c r="A33" s="0" t="s">
        <v>1238</v>
      </c>
      <c r="B33" s="0" t="s">
        <v>1239</v>
      </c>
    </row>
    <row r="34" customFormat="false" ht="12.75" hidden="false" customHeight="false" outlineLevel="0" collapsed="false">
      <c r="A34" s="0" t="s">
        <v>1240</v>
      </c>
      <c r="B34" s="0" t="s">
        <v>1241</v>
      </c>
    </row>
    <row r="35" customFormat="false" ht="12.75" hidden="false" customHeight="false" outlineLevel="0" collapsed="false">
      <c r="A35" s="0" t="s">
        <v>1242</v>
      </c>
      <c r="B35" s="0" t="s">
        <v>1243</v>
      </c>
    </row>
    <row r="36" customFormat="false" ht="12.75" hidden="false" customHeight="false" outlineLevel="0" collapsed="false">
      <c r="A36" s="0" t="s">
        <v>581</v>
      </c>
      <c r="B36" s="0" t="s">
        <v>1244</v>
      </c>
    </row>
    <row r="37" customFormat="false" ht="12.75" hidden="false" customHeight="false" outlineLevel="0" collapsed="false">
      <c r="A37" s="0" t="s">
        <v>1245</v>
      </c>
      <c r="B37" s="0" t="s">
        <v>1246</v>
      </c>
    </row>
    <row r="38" customFormat="false" ht="12.75" hidden="false" customHeight="false" outlineLevel="0" collapsed="false">
      <c r="A38" s="0" t="s">
        <v>1247</v>
      </c>
      <c r="B38" s="0" t="s">
        <v>1248</v>
      </c>
    </row>
    <row r="39" customFormat="false" ht="12.75" hidden="false" customHeight="false" outlineLevel="0" collapsed="false">
      <c r="A39" s="0" t="s">
        <v>1249</v>
      </c>
      <c r="B39" s="0" t="s">
        <v>1250</v>
      </c>
    </row>
    <row r="40" customFormat="false" ht="12.75" hidden="false" customHeight="false" outlineLevel="0" collapsed="false">
      <c r="A40" s="0" t="s">
        <v>477</v>
      </c>
      <c r="B40" s="0" t="s">
        <v>1251</v>
      </c>
    </row>
    <row r="41" customFormat="false" ht="12.75" hidden="false" customHeight="false" outlineLevel="0" collapsed="false">
      <c r="A41" s="0" t="s">
        <v>1252</v>
      </c>
      <c r="B41" s="0" t="s">
        <v>1253</v>
      </c>
    </row>
    <row r="42" customFormat="false" ht="12.75" hidden="false" customHeight="false" outlineLevel="0" collapsed="false">
      <c r="A42" s="0" t="s">
        <v>1252</v>
      </c>
      <c r="B42" s="0" t="s">
        <v>1254</v>
      </c>
    </row>
    <row r="43" customFormat="false" ht="12.75" hidden="false" customHeight="false" outlineLevel="0" collapsed="false">
      <c r="A43" s="0" t="s">
        <v>1255</v>
      </c>
      <c r="B43" s="0" t="s">
        <v>1256</v>
      </c>
    </row>
    <row r="44" customFormat="false" ht="12.75" hidden="false" customHeight="false" outlineLevel="0" collapsed="false">
      <c r="A44" s="0" t="s">
        <v>1257</v>
      </c>
      <c r="B44" s="0" t="s">
        <v>1258</v>
      </c>
    </row>
    <row r="45" customFormat="false" ht="12.75" hidden="false" customHeight="false" outlineLevel="0" collapsed="false">
      <c r="A45" s="0" t="s">
        <v>1259</v>
      </c>
      <c r="B45" s="0" t="s">
        <v>1260</v>
      </c>
    </row>
    <row r="46" customFormat="false" ht="12.75" hidden="false" customHeight="false" outlineLevel="0" collapsed="false">
      <c r="A46" s="0" t="s">
        <v>1259</v>
      </c>
      <c r="B46" s="0" t="s">
        <v>1261</v>
      </c>
    </row>
    <row r="47" customFormat="false" ht="12.75" hidden="false" customHeight="false" outlineLevel="0" collapsed="false">
      <c r="A47" s="0" t="s">
        <v>1262</v>
      </c>
      <c r="B47" s="0" t="s">
        <v>1263</v>
      </c>
    </row>
    <row r="48" customFormat="false" ht="12.75" hidden="false" customHeight="false" outlineLevel="0" collapsed="false">
      <c r="A48" s="0" t="s">
        <v>1264</v>
      </c>
      <c r="B48" s="0" t="s">
        <v>1265</v>
      </c>
    </row>
    <row r="49" customFormat="false" ht="12.75" hidden="false" customHeight="false" outlineLevel="0" collapsed="false">
      <c r="A49" s="0" t="s">
        <v>1266</v>
      </c>
      <c r="B49" s="0" t="s">
        <v>1267</v>
      </c>
    </row>
    <row r="50" customFormat="false" ht="15.75" hidden="false" customHeight="true" outlineLevel="0" collapsed="false">
      <c r="A50" s="67" t="s">
        <v>482</v>
      </c>
      <c r="B50" s="68" t="s">
        <v>1268</v>
      </c>
    </row>
    <row r="53" customFormat="false" ht="12.75" hidden="false" customHeight="false" outlineLevel="0" collapsed="false">
      <c r="B53" s="0" t="s">
        <v>1269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2005-05-04T20:55:03Z</dcterms:created>
  <dc:creator>mesposito</dc:creator>
  <dc:description/>
  <dc:language>en-US</dc:language>
  <cp:lastModifiedBy>Brian L Fisher</cp:lastModifiedBy>
  <dcterms:modified xsi:type="dcterms:W3CDTF">2026-10-18T00:04:36Z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