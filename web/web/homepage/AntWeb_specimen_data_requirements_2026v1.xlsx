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comments6.xml" ContentType="application/vnd.openxmlformats-officedocument.spreadsheetml.comments+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llection data template" sheetId="1" state="visible" r:id="rId3"/>
    <sheet name="data field descriptions" sheetId="2" state="visible" r:id="rId4"/>
    <sheet name="specimen data template" sheetId="3" state="visible" r:id="rId5"/>
    <sheet name="Date conversion" sheetId="4" state="visible" r:id="rId6"/>
    <sheet name="Lat long conversion" sheetId="5" state="visible" r:id="rId7"/>
    <sheet name="Country name list" sheetId="6" state="visible" r:id="rId8"/>
    <sheet name="Bioregion Name list" sheetId="7" state="visible" r:id="rId9"/>
    <sheet name="indet, uncertainty" sheetId="8" state="visible" r:id="rId10"/>
    <sheet name="Museum acronyms" sheetId="9" state="visible" r:id="rId11"/>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Fisher, Brian:
used when recording lat long in deg min sec format
</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B1" authorId="0">
      <text>
        <r>
          <rPr>
            <sz val="10"/>
            <rFont val="Arial"/>
            <family val="2"/>
          </rPr>
          <t xml:space="preserve">Fisher, Brian:
used when recording lat long in deg min sec format
</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This is the ISO 3166 two-letter code (alpha-2)</t>
        </r>
      </text>
    </comment>
    <comment ref="C1" authorId="0">
      <text>
        <r>
          <rPr>
            <sz val="10"/>
            <rFont val="Arial"/>
            <family val="2"/>
          </rPr>
          <t xml:space="preserve">Seel also: http://www.iso.org/iso/country_codes/iso_3166_code_lists/country_names_and_code_elements.htm</t>
        </r>
      </text>
    </comment>
  </commentList>
</comments>
</file>

<file path=xl/sharedStrings.xml><?xml version="1.0" encoding="utf-8"?>
<sst xmlns="http://schemas.openxmlformats.org/spreadsheetml/2006/main" count="1090" uniqueCount="907">
  <si>
    <t xml:space="preserve">CollectionCode</t>
  </si>
  <si>
    <t xml:space="preserve">Subfamily</t>
  </si>
  <si>
    <t xml:space="preserve">Genus</t>
  </si>
  <si>
    <t xml:space="preserve">Species</t>
  </si>
  <si>
    <t xml:space="preserve">LifeStageSex</t>
  </si>
  <si>
    <t xml:space="preserve">CollectedBy</t>
  </si>
  <si>
    <t xml:space="preserve">DateCollectedStart</t>
  </si>
  <si>
    <t xml:space="preserve">DateCollectedEnd</t>
  </si>
  <si>
    <t xml:space="preserve">Method</t>
  </si>
  <si>
    <t xml:space="preserve">Habitat</t>
  </si>
  <si>
    <t xml:space="preserve">Microhabitat</t>
  </si>
  <si>
    <t xml:space="preserve">CollectionNotes</t>
  </si>
  <si>
    <t xml:space="preserve">LocalityName</t>
  </si>
  <si>
    <t xml:space="preserve">Adm2</t>
  </si>
  <si>
    <t xml:space="preserve">Adm1</t>
  </si>
  <si>
    <t xml:space="preserve">Country</t>
  </si>
  <si>
    <t xml:space="preserve">Elevation</t>
  </si>
  <si>
    <t xml:space="preserve">LatDeg</t>
  </si>
  <si>
    <t xml:space="preserve">LatMin</t>
  </si>
  <si>
    <t xml:space="preserve">LatSec</t>
  </si>
  <si>
    <t xml:space="preserve">NS</t>
  </si>
  <si>
    <t xml:space="preserve">LonDeg</t>
  </si>
  <si>
    <t xml:space="preserve">LonMin</t>
  </si>
  <si>
    <t xml:space="preserve">LonSec</t>
  </si>
  <si>
    <t xml:space="preserve">EW</t>
  </si>
  <si>
    <t xml:space="preserve">LocLatitude</t>
  </si>
  <si>
    <t xml:space="preserve">LocLongitude</t>
  </si>
  <si>
    <t xml:space="preserve">LatLonMaxError</t>
  </si>
  <si>
    <t xml:space="preserve">BiogeographicRegion</t>
  </si>
  <si>
    <t xml:space="preserve">LocalityNotes</t>
  </si>
  <si>
    <t xml:space="preserve">ElevationMaxError</t>
  </si>
  <si>
    <t xml:space="preserve">PSW13508</t>
  </si>
  <si>
    <t xml:space="preserve">Myrmicinae</t>
  </si>
  <si>
    <t xml:space="preserve">Solenopsis</t>
  </si>
  <si>
    <t xml:space="preserve">ocellata</t>
  </si>
  <si>
    <t xml:space="preserve">1 worker</t>
  </si>
  <si>
    <t xml:space="preserve">Ward, P.S.</t>
  </si>
  <si>
    <t xml:space="preserve">1998-03-26</t>
  </si>
  <si>
    <t xml:space="preserve">search</t>
  </si>
  <si>
    <t xml:space="preserve">Mojave desert</t>
  </si>
  <si>
    <t xml:space="preserve">under stone</t>
  </si>
  <si>
    <t xml:space="preserve">Hanaupah Canyon Rd, Death Valley Natl. Park</t>
  </si>
  <si>
    <t xml:space="preserve">Inyo</t>
  </si>
  <si>
    <t xml:space="preserve">California</t>
  </si>
  <si>
    <t xml:space="preserve">United States</t>
  </si>
  <si>
    <t xml:space="preserve">330 m</t>
  </si>
  <si>
    <t xml:space="preserve">N</t>
  </si>
  <si>
    <t xml:space="preserve">W</t>
  </si>
  <si>
    <t xml:space="preserve">400 m</t>
  </si>
  <si>
    <t xml:space="preserve">Nearctic</t>
  </si>
  <si>
    <t xml:space="preserve">From PSW field notes: about 3 road miles up the Hanaupah Canyon Road. Mojave desert; stony ground on alluvial fan. GPS reading: 36°12.971'N 116°56.195'W. Extent ±400 m, estimated using Google Earth.</t>
  </si>
  <si>
    <t xml:space="preserve">BLF29618</t>
  </si>
  <si>
    <t xml:space="preserve">Ponerinae</t>
  </si>
  <si>
    <t xml:space="preserve">Hypoponera</t>
  </si>
  <si>
    <t xml:space="preserve">tristis</t>
  </si>
  <si>
    <t xml:space="preserve">Fisher, B.L.; Esteves, F.A.; Malagasy Arthropod Team</t>
  </si>
  <si>
    <t xml:space="preserve">2012-08-13</t>
  </si>
  <si>
    <t xml:space="preserve">2012-08-15</t>
  </si>
  <si>
    <t xml:space="preserve">10 Maxi Winkler, mixed sample</t>
  </si>
  <si>
    <t xml:space="preserve">moist evergreen forest</t>
  </si>
  <si>
    <t xml:space="preserve">sifted litter</t>
  </si>
  <si>
    <t xml:space="preserve">Kibale National Park, Kanyawara Biological Station</t>
  </si>
  <si>
    <t xml:space="preserve">Kabarole</t>
  </si>
  <si>
    <t xml:space="preserve">Western</t>
  </si>
  <si>
    <t xml:space="preserve">Uganda</t>
  </si>
  <si>
    <t xml:space="preserve">1540 m</t>
  </si>
  <si>
    <t xml:space="preserve">25 m</t>
  </si>
  <si>
    <t xml:space="preserve">Afrotropical</t>
  </si>
  <si>
    <t xml:space="preserve">PSW15508</t>
  </si>
  <si>
    <t xml:space="preserve">Formicinae</t>
  </si>
  <si>
    <t xml:space="preserve">Lasius</t>
  </si>
  <si>
    <t xml:space="preserve">ponderosae</t>
  </si>
  <si>
    <t xml:space="preserve">2005-08-20</t>
  </si>
  <si>
    <t xml:space="preserve">alpine vegetation</t>
  </si>
  <si>
    <t xml:space="preserve">1.6 km NE Leavitt Peak</t>
  </si>
  <si>
    <t xml:space="preserve">Mono</t>
  </si>
  <si>
    <t xml:space="preserve">3220 m</t>
  </si>
  <si>
    <t xml:space="preserve">150 m</t>
  </si>
  <si>
    <t xml:space="preserve">From PSW field notes: dry, rocky alpine fell-field, on volcanic scree. Extent (±150 m) estimated using Google Earth.</t>
  </si>
  <si>
    <t xml:space="preserve">Darwin Core field name</t>
  </si>
  <si>
    <t xml:space="preserve">Data Field</t>
  </si>
  <si>
    <t xml:space="preserve">Description</t>
  </si>
  <si>
    <t xml:space="preserve">Comments</t>
  </si>
  <si>
    <t xml:space="preserve">fieldNumber</t>
  </si>
  <si>
    <t xml:space="preserve">Collection field codes are numbers given to each collection event to link specimens to collection data. They are given most often at the time of collection. Collection codes can be created in a number of ways but best practices are to have the numbers unique within one's entire collection, to include numbers in the code and no spaces. For example, codes can be tied to the collector by the collector’s initials (e.g. BLF123456). For a biodiversity inventory, collection codes can be used to reflect a particular quantitative sample (e.g. Fog/01/01 for a project fogging sample).  </t>
  </si>
  <si>
    <t xml:space="preserve">Optional: When databasing retrospective or older collections, the code is not necessary, but for new collections, best practices strongly encourage the use of collection codes.  Benefit: facilitates processing specimens, labeling, curation, and management of collections and associated data. The collection code links specimens to the appropriate locality and collection data and will facilitate labeling mounted or etoh specimens with the appropriate locality label.  Thus the collection code should stay with the specimens as they are processed and mounted. In addition when databasing, they are used to link specimens to collection and locality data. </t>
  </si>
  <si>
    <t xml:space="preserve">recordedBy</t>
  </si>
  <si>
    <t xml:space="preserve">Last name, comma, initials, with multiple collectors separated by a semi-colon.</t>
  </si>
  <si>
    <t xml:space="preserve">Required</t>
  </si>
  <si>
    <t xml:space="preserve">eventDate (start)</t>
  </si>
  <si>
    <t xml:space="preserve">Record as YYYY-MM-DD (this is the date format used for importing data, but for labels, differentiate the month, e.g. 2 Feb 2011 or 2.ii.2011); in excel, you can set the date format via the format cell, custom option and set it as YYYY-MM-DD or when using partial dates, change cell to text format.</t>
  </si>
  <si>
    <t xml:space="preserve">eventDate (end)</t>
  </si>
  <si>
    <t xml:space="preserve">Record as YYYY-MM-DD</t>
  </si>
  <si>
    <t xml:space="preserve">Optional, useful to indicate the date range for traps such as Malaise or pitfalls</t>
  </si>
  <si>
    <t xml:space="preserve">samplingProtocol</t>
  </si>
  <si>
    <t xml:space="preserve">pitfall, Malaise, search, beating, yellow pan trap, sweeping, Winkler, hand sifter, Berlese, etc.</t>
  </si>
  <si>
    <t xml:space="preserve">Encouraged. Benefit: provides information on the biology of the species</t>
  </si>
  <si>
    <t xml:space="preserve">habitat</t>
  </si>
  <si>
    <t xml:space="preserve">Habitat refers to general vegetation classification. There is no standard classification available, but even a simple description, like forest, grassland, or desert will provide some details on the habitat structure. </t>
  </si>
  <si>
    <t xml:space="preserve">(no Darwin Core term; part of habitat)</t>
  </si>
  <si>
    <t xml:space="preserve">Microhabitat refers to the specific habitat of the ants collected: e.g. under stone, ground forager(s), ex rotten log, on low vegetation, ex dead twig, ex live stem ____, ex rotten stick on ground, ground nest, sifted litter (leaf mold, rotten wood), under tree bark, live tree, carton nest on foliage, on tree trunk(s), ex rot pocket above ground, ex rotting tree stump, ex dead branch above ground, at light, ex termite mound</t>
  </si>
  <si>
    <t xml:space="preserve">eventRemarks</t>
  </si>
  <si>
    <t xml:space="preserve">Field notes, field identifications, field observations, etc. To create a paragraph within this field, add html codes &lt;p&gt;, &lt;/p&gt;. </t>
  </si>
  <si>
    <t xml:space="preserve">Encouraged</t>
  </si>
  <si>
    <t xml:space="preserve">locality</t>
  </si>
  <si>
    <t xml:space="preserve">Text description of locality. Include distance and direction from nearest village if possible.   If updating older printed label data, put original label text in brackets [ ].  </t>
  </si>
  <si>
    <t xml:space="preserve">stateProvince</t>
  </si>
  <si>
    <t xml:space="preserve">Primary administrative division, e.g. state, province. Name only; do not add "State", "Prov.", etc.</t>
  </si>
  <si>
    <t xml:space="preserve">county</t>
  </si>
  <si>
    <t xml:space="preserve">Secondary administrative division. e.g. county. Name only; do not add "Co.", etc.</t>
  </si>
  <si>
    <t xml:space="preserve">country</t>
  </si>
  <si>
    <t xml:space="preserve">Follow ISO standard names: http://en.wikipedia.org/wiki/ISO_3166-1</t>
  </si>
  <si>
    <t xml:space="preserve"> ISO two letter country codes are not currently supported. </t>
  </si>
  <si>
    <t xml:space="preserve">minimumElevationInMeters, maximumElevationInMeters</t>
  </si>
  <si>
    <t xml:space="preserve">Single value, in meters, no ranges, no "&lt;"; add a space then "m" to clearly indicate that the value is in meters. Add to SpecimenNotes field comments regarding elevation.  If an elevation is given in feet on the label: convert to meters, and then give the actual label transcription (“3000 ft.”) in SpecimenNotes.  If a range is given on a specimen label (e.g. 500-1000 m), then enter the average (750 m) and under SpecimenNotes give the direct label transcription. </t>
  </si>
  <si>
    <t xml:space="preserve">(no Darwin Core term)</t>
  </si>
  <si>
    <t xml:space="preserve">Error around elevation midpoint; for example, instead of 500-1000 m use Elevation=750 m, ElevationMaxError=250 m.</t>
  </si>
  <si>
    <t xml:space="preserve">Encouraged: useful during studies on elevation gradients</t>
  </si>
  <si>
    <t xml:space="preserve">decimalLatitude</t>
  </si>
  <si>
    <t xml:space="preserve">Record in decimal degrees; see "lat long conversion" worksheet for converting</t>
  </si>
  <si>
    <t xml:space="preserve">Required for new collections AntWeb reads only LocLatitude and LocLongitude. The LatDeg to EW columns in the templates are a helper: fill them in and the LocLatitude/LocLongitude formulas convert to decimal degrees (S and W become negative). Keep the formula results when saving the file.</t>
  </si>
  <si>
    <t xml:space="preserve">decimalLongitude</t>
  </si>
  <si>
    <t xml:space="preserve">coordinateUncertaintyInMeters</t>
  </si>
  <si>
    <t xml:space="preserve">Extent + GPS error. Extent is the maximum distance from where you take the gps reading to where you collect a specimen connected to that reading (in the field, often a rough estimate). GPS error = error determined by gps.  Indicate units: m, km, degree, minute, second.  If error unknown, enter "unknown"</t>
  </si>
  <si>
    <t xml:space="preserve">Encouraged. Benefit when mapping and modeling species distributions</t>
  </si>
  <si>
    <t xml:space="preserve">Nearctic (including most of North America), Neotropical (including South America and the Caribbean), Palearctic (including the bulk of Eurasia and North Africa), Afrotropical (including Sub-Saharan Africa), Malagasy (Madagascar and Southwest Indian Ocean Islands including Seychelles, Comoros, Mascarenes) Indomalaya (including the Indian subcontinent and Southeast Asia), Australasia (including Australia, New Guinea, and neighboring islands. The northern boundary of this zone is known as the Wallace line.), and Oceania (Pacific Ocean islands including Polynesia, Melanesia, Micronesia). For limits in China and Mexico see map at: http://en.wikipedia.org/wiki/File:Ecozones.svg</t>
  </si>
  <si>
    <t xml:space="preserve">Encouraged: benefit: permits searching for records from entire region and not just by country. </t>
  </si>
  <si>
    <t xml:space="preserve">locationRemarks</t>
  </si>
  <si>
    <t xml:space="preserve">Text field for notes pertaining to the locality; use this field to explain details on georeferencing. To create a paragraph within this field, add html codes &lt;p&gt;, &lt;/p&gt;. </t>
  </si>
  <si>
    <t xml:space="preserve">catalogNumber</t>
  </si>
  <si>
    <t xml:space="preserve">SpecimenCode</t>
  </si>
  <si>
    <t xml:space="preserve">unique Identifier: e.g. CASENT1234567 This code is given to the specimen or pin to uniquely identify the object.   The code must be globally unique.  The specimen code is essential for databasing specimens.  The code does not imply ownership.  Thus it is not a museum catalog or accession number, but a code to refer to the specimen. </t>
  </si>
  <si>
    <t xml:space="preserve">Obligatory field: Contact Antweb if codes are needed.</t>
  </si>
  <si>
    <t xml:space="preserve">subfamily</t>
  </si>
  <si>
    <t xml:space="preserve">valid subfamily name.  If subfamily not determined, then enter Formicidae-indet for subfamily</t>
  </si>
  <si>
    <t xml:space="preserve">Required. Also, note that if Class, Order, and Family is not provided, Antweb assumes Class Insecta, Order Hymenoptera, Family Formicidae</t>
  </si>
  <si>
    <t xml:space="preserve">genus</t>
  </si>
  <si>
    <t xml:space="preserve">valid genus name; if genus is undetermined, then enter the [subfamily name]-indet such as Amblyoponinae-indet for a specimen determined only to the subfamily Amblyoponinae</t>
  </si>
  <si>
    <t xml:space="preserve">specificEpithet</t>
  </si>
  <si>
    <t xml:space="preserve">Species field can not include spaces.  For unnamed species, avoid names such as "sp. A" or "sp. 1". and do not use morphospecies codes that contain just letters, you must include a number or a "-".  Also, when establishing morphospecies for a large collection, best practices is to include the prefix collection coden of the source collection: e.g. Concoctio afrc-gau01  where AFRC refers to the collection, GAU refers to a region. Use _cf for taxa that are close to or conspecific to named taxon;  _nr for taxa that are close to named taxon;  "_complex" for taxa identified to species complex only; or "_grp" for taxa identified to species group only. See Specimen notes for adding taxonomic reliability. For taxa not determined to species use “indet” For taxa determined only to higher taxa, use the convention enclosing the known name in parentheses. See examples on the “indet, uncertainty” tab.</t>
  </si>
  <si>
    <t xml:space="preserve">infraspecificEpithet</t>
  </si>
  <si>
    <t xml:space="preserve">Subspecies</t>
  </si>
  <si>
    <t xml:space="preserve">valid subspecies name</t>
  </si>
  <si>
    <t xml:space="preserve">Optional</t>
  </si>
  <si>
    <t xml:space="preserve">lifeStage, sex, caste</t>
  </si>
  <si>
    <t xml:space="preserve">alate queen, dealate queen, ergatoid queen, worker, minor worker, major worker [required for dimorphic genera: Carebara, Pheidole, Acanthomyrmex}, soldier, male, ergatoid male, larvae, pupae.  uncommon castes: dichthadiiform queen, intercaste queen, intermorph, gynandromorph. Ergatoid queens are permanently wingless reproductives and exhibit various degrees of thoracic simplification and in many species their gaster is conspicuously bigger than workers. larvae and pupae </t>
  </si>
  <si>
    <t xml:space="preserve">Encouraged. Benefit:  allows AntWeb users to search for specific castes. This is a required field for imaged specimens. If you imaged a specimen on a pin that has more than one specimen, you need to add total individual and caste information to specimens notes as an example: pin: 1 worker, 2 dealate queens, 1 male.  </t>
  </si>
  <si>
    <t xml:space="preserve">preparations</t>
  </si>
  <si>
    <t xml:space="preserve">Medium</t>
  </si>
  <si>
    <t xml:space="preserve">pin, dry-mount, slide, alcohol, ethanol, fluid, etc. If you know percentage, add it, e.g. 100%EtOH</t>
  </si>
  <si>
    <t xml:space="preserve">Encouraged. Benefit: useful in managing collections</t>
  </si>
  <si>
    <t xml:space="preserve">occurrenceRemarks</t>
  </si>
  <si>
    <t xml:space="preserve">SpecimenNotes</t>
  </si>
  <si>
    <t xml:space="preserve">any notes pertaining to the specimen, label transcriptions or reliability of identification;. Add information including the basis of identification to help establish the quality or confidence in the taxonomic identification.   To create a paragraph within this field, add html codes &lt;p&gt;, &lt;/p&gt;. </t>
  </si>
  <si>
    <t xml:space="preserve">DNANotes</t>
  </si>
  <si>
    <t xml:space="preserve">notes for specimens used in molecular analysis</t>
  </si>
  <si>
    <t xml:space="preserve">(no Darwin Core term; current location)</t>
  </si>
  <si>
    <t xml:space="preserve">LocatedAt</t>
  </si>
  <si>
    <t xml:space="preserve">museum acronym or initials, e.g. CASC, PSWC, MHNG, USNM see "Museum" tab and also:the GBIF Registry of Scientific Collections (https://scientific-collections.gbif.org/), which gives codes for most collections</t>
  </si>
  <si>
    <t xml:space="preserve">institutionCode</t>
  </si>
  <si>
    <t xml:space="preserve">OwnedBy</t>
  </si>
  <si>
    <t xml:space="preserve">museum acronym or initials, e.g. CASC, PSWC, MHNG, USNM (add more examples)</t>
  </si>
  <si>
    <t xml:space="preserve">Encouraged: benefit to those who loan or ship specimens</t>
  </si>
  <si>
    <t xml:space="preserve">typeStatus</t>
  </si>
  <si>
    <t xml:space="preserve">TypeStatus</t>
  </si>
  <si>
    <t xml:space="preserve">holotype, paratype, syntype, lectotype, paralectotype or neotype  include original type combination; e.g. Holotype of Pheidole cephalica</t>
  </si>
  <si>
    <t xml:space="preserve">Encouraged: benefit to those doing taxonomic work</t>
  </si>
  <si>
    <t xml:space="preserve">identifiedBy</t>
  </si>
  <si>
    <t xml:space="preserve">DeterminedBy</t>
  </si>
  <si>
    <t xml:space="preserve">the person who identified the specimen; last name, comma, initials, with multiple collectors separated by a semi-colon.</t>
  </si>
  <si>
    <t xml:space="preserve">Encouraged: provides information as who to question about the identifications</t>
  </si>
  <si>
    <t xml:space="preserve">dateIdentified</t>
  </si>
  <si>
    <t xml:space="preserve">DateDetermined</t>
  </si>
  <si>
    <t xml:space="preserve">record as YYYY-MM-DD</t>
  </si>
  <si>
    <t xml:space="preserve">previousIdentifications</t>
  </si>
  <si>
    <t xml:space="preserve">previousDeterminations</t>
  </si>
  <si>
    <t xml:space="preserve">Earlier identifications of the specimen, newest first, separated by a space, a vertical bar and a space ( | ). Write each as Taxon: determination by Name on YYYY-MM-DD ("by" and "on" are optional). Example: Nylanderia: US_CA01 by Ward on 2025-12-10 | Nylanderia: US_CA01 by Fisher on 2000-11-10</t>
  </si>
  <si>
    <t xml:space="preserve">Optional. Shown on the specimen page under "Date determined". Files without this column upload as before. Specimens from TaxonWorks get it automatically.</t>
  </si>
  <si>
    <t xml:space="preserve">subspecies</t>
  </si>
  <si>
    <t xml:space="preserve">CASENT0005808</t>
  </si>
  <si>
    <t xml:space="preserve">pin</t>
  </si>
  <si>
    <t xml:space="preserve">HW 0.296, CI 0.72. Lower mesopleuron with weak longitudinal striae.</t>
  </si>
  <si>
    <t xml:space="preserve">DNA voucher (same specimen); Ward lab extraction #D4800.</t>
  </si>
  <si>
    <t xml:space="preserve">UCDC</t>
  </si>
  <si>
    <t xml:space="preserve">2026-07-10</t>
  </si>
  <si>
    <t xml:space="preserve">Solenopsis Westwood, 1840: us_ca01 by Ward on 2026-2-6 | Solenopsis Westwood, 1840: subterranea_nr by Ward on 2020-7-6</t>
  </si>
  <si>
    <t xml:space="preserve">CASENT0361652</t>
  </si>
  <si>
    <t xml:space="preserve">transect subsample #10</t>
  </si>
  <si>
    <t xml:space="preserve">AoW UCE; DNA voucher (same specimen), Branstetter extraction #EX2787.</t>
  </si>
  <si>
    <t xml:space="preserve">CASC</t>
  </si>
  <si>
    <t xml:space="preserve">Longino, J.T.</t>
  </si>
  <si>
    <t xml:space="preserve">2023-12-12</t>
  </si>
  <si>
    <t xml:space="preserve">UG03: Hypoponera Santschi, 1938</t>
  </si>
  <si>
    <t xml:space="preserve">CASENT0106128</t>
  </si>
  <si>
    <t xml:space="preserve">This is the pilose form of Lasius ponderosae.</t>
  </si>
  <si>
    <t xml:space="preserve">ATOL voucher UCDC</t>
  </si>
  <si>
    <t xml:space="preserve">Lasius Fabricius, 1804: ponderosae_nr by Ward on 2023-2-27</t>
  </si>
  <si>
    <t xml:space="preserve">example</t>
  </si>
  <si>
    <t xml:space="preserve">record as</t>
  </si>
  <si>
    <t xml:space="preserve">full dates</t>
  </si>
  <si>
    <t xml:space="preserve">June 17, 2004</t>
  </si>
  <si>
    <t xml:space="preserve">2004-06-17</t>
  </si>
  <si>
    <t xml:space="preserve">partial dates (month, year)</t>
  </si>
  <si>
    <t xml:space="preserve">May 1996</t>
  </si>
  <si>
    <t xml:space="preserve">1996-05</t>
  </si>
  <si>
    <t xml:space="preserve">partial dates (year only)</t>
  </si>
  <si>
    <t xml:space="preserve">2001</t>
  </si>
  <si>
    <t xml:space="preserve">Converting Latitude and Longitudes to Decimal degrees</t>
  </si>
  <si>
    <t xml:space="preserve">Formulas for converting latitude and longitude in Excel</t>
  </si>
  <si>
    <t xml:space="preserve">To convert degree-minute-second format into decimal degrees:</t>
  </si>
  <si>
    <t xml:space="preserve">decimal degrees= degrees+(minutes/60)+(seconds/3600)</t>
  </si>
  <si>
    <t xml:space="preserve">To convert integer degrees-decimal minute format into decimal degrees:</t>
  </si>
  <si>
    <t xml:space="preserve">decimal degrees= integer degree+(decimal minutes/60)</t>
  </si>
  <si>
    <t xml:space="preserve">TopoFinder webpage for latitude and longitude conversion</t>
  </si>
  <si>
    <t xml:space="preserve">http://nris.mt.gov/wis/location/LatLong.asp</t>
  </si>
  <si>
    <t xml:space="preserve">AntWeb Country Name</t>
  </si>
  <si>
    <t xml:space="preserve">ISO 3166</t>
  </si>
  <si>
    <t xml:space="preserve">Notes</t>
  </si>
  <si>
    <t xml:space="preserve">Afghanistan</t>
  </si>
  <si>
    <t xml:space="preserve">AF</t>
  </si>
  <si>
    <t xml:space="preserve">Åland Islands</t>
  </si>
  <si>
    <t xml:space="preserve">AX</t>
  </si>
  <si>
    <t xml:space="preserve">Albania</t>
  </si>
  <si>
    <t xml:space="preserve">AL</t>
  </si>
  <si>
    <t xml:space="preserve">Algeria</t>
  </si>
  <si>
    <t xml:space="preserve">DZ</t>
  </si>
  <si>
    <t xml:space="preserve">American Samoa</t>
  </si>
  <si>
    <t xml:space="preserve">AS</t>
  </si>
  <si>
    <t xml:space="preserve">Andorra</t>
  </si>
  <si>
    <t xml:space="preserve">AD</t>
  </si>
  <si>
    <t xml:space="preserve">Angola</t>
  </si>
  <si>
    <t xml:space="preserve">AO</t>
  </si>
  <si>
    <t xml:space="preserve">Anguilla</t>
  </si>
  <si>
    <t xml:space="preserve">AI</t>
  </si>
  <si>
    <t xml:space="preserve">Antarctica</t>
  </si>
  <si>
    <t xml:space="preserve">AQ</t>
  </si>
  <si>
    <t xml:space="preserve">Antigua and Barbuda</t>
  </si>
  <si>
    <t xml:space="preserve">AG</t>
  </si>
  <si>
    <t xml:space="preserve">Argentina</t>
  </si>
  <si>
    <t xml:space="preserve">AR</t>
  </si>
  <si>
    <t xml:space="preserve">Armenia</t>
  </si>
  <si>
    <t xml:space="preserve">AM</t>
  </si>
  <si>
    <t xml:space="preserve">Aruba</t>
  </si>
  <si>
    <t xml:space="preserve">AW</t>
  </si>
  <si>
    <t xml:space="preserve">Australia</t>
  </si>
  <si>
    <t xml:space="preserve">AU</t>
  </si>
  <si>
    <t xml:space="preserve">Austria</t>
  </si>
  <si>
    <t xml:space="preserve">AT</t>
  </si>
  <si>
    <t xml:space="preserve">Azerbaijan</t>
  </si>
  <si>
    <t xml:space="preserve">AZ</t>
  </si>
  <si>
    <t xml:space="preserve">Bahamas</t>
  </si>
  <si>
    <t xml:space="preserve">BS</t>
  </si>
  <si>
    <t xml:space="preserve">Bahrain</t>
  </si>
  <si>
    <t xml:space="preserve">BH</t>
  </si>
  <si>
    <t xml:space="preserve">Bangladesh</t>
  </si>
  <si>
    <t xml:space="preserve">BD</t>
  </si>
  <si>
    <t xml:space="preserve">Barbados</t>
  </si>
  <si>
    <t xml:space="preserve">BB</t>
  </si>
  <si>
    <t xml:space="preserve">Belarus</t>
  </si>
  <si>
    <t xml:space="preserve">BY</t>
  </si>
  <si>
    <t xml:space="preserve">Previously named "Byelorussian S.S.R."</t>
  </si>
  <si>
    <t xml:space="preserve">Belgium</t>
  </si>
  <si>
    <t xml:space="preserve">BE</t>
  </si>
  <si>
    <t xml:space="preserve">Belize</t>
  </si>
  <si>
    <t xml:space="preserve">BZ</t>
  </si>
  <si>
    <t xml:space="preserve">Benin</t>
  </si>
  <si>
    <t xml:space="preserve">BJ</t>
  </si>
  <si>
    <t xml:space="preserve">Previously named "Dahomey" DY</t>
  </si>
  <si>
    <t xml:space="preserve">Bermuda</t>
  </si>
  <si>
    <t xml:space="preserve">BM</t>
  </si>
  <si>
    <t xml:space="preserve">Bhutan</t>
  </si>
  <si>
    <t xml:space="preserve">BT</t>
  </si>
  <si>
    <t xml:space="preserve">Bolivia</t>
  </si>
  <si>
    <t xml:space="preserve">BO</t>
  </si>
  <si>
    <t xml:space="preserve">Bonaire, Sint Eustatius and Saba</t>
  </si>
  <si>
    <t xml:space="preserve">BQ</t>
  </si>
  <si>
    <t xml:space="preserve">Formerly Netherlands Antilles (AN), which was this entity plus Curaçao</t>
  </si>
  <si>
    <t xml:space="preserve">Bosnia and Herzegovina</t>
  </si>
  <si>
    <t xml:space="preserve">BA</t>
  </si>
  <si>
    <t xml:space="preserve">Botswana</t>
  </si>
  <si>
    <t xml:space="preserve">BW</t>
  </si>
  <si>
    <t xml:space="preserve">Bouvet Island</t>
  </si>
  <si>
    <t xml:space="preserve">BV</t>
  </si>
  <si>
    <t xml:space="preserve">Brazil</t>
  </si>
  <si>
    <t xml:space="preserve">BR</t>
  </si>
  <si>
    <t xml:space="preserve">British Indian Ocean Territory</t>
  </si>
  <si>
    <t xml:space="preserve">IO</t>
  </si>
  <si>
    <t xml:space="preserve">Includes Diego Garcia</t>
  </si>
  <si>
    <t xml:space="preserve">Brunei</t>
  </si>
  <si>
    <t xml:space="preserve">BN</t>
  </si>
  <si>
    <t xml:space="preserve">Bulgaria</t>
  </si>
  <si>
    <t xml:space="preserve">BG</t>
  </si>
  <si>
    <t xml:space="preserve">Burkina Faso</t>
  </si>
  <si>
    <t xml:space="preserve">BF</t>
  </si>
  <si>
    <t xml:space="preserve">Previously named "Upper Volta" HV</t>
  </si>
  <si>
    <t xml:space="preserve">Burundi</t>
  </si>
  <si>
    <t xml:space="preserve">BI</t>
  </si>
  <si>
    <t xml:space="preserve">Cambodia</t>
  </si>
  <si>
    <t xml:space="preserve">KH</t>
  </si>
  <si>
    <t xml:space="preserve">Previously named "Kampuchea"</t>
  </si>
  <si>
    <t xml:space="preserve">Cameroon</t>
  </si>
  <si>
    <t xml:space="preserve">CM</t>
  </si>
  <si>
    <t xml:space="preserve">Canada</t>
  </si>
  <si>
    <t xml:space="preserve">CA</t>
  </si>
  <si>
    <t xml:space="preserve">Cape Verde</t>
  </si>
  <si>
    <t xml:space="preserve">CV</t>
  </si>
  <si>
    <t xml:space="preserve">Cayman Islands</t>
  </si>
  <si>
    <t xml:space="preserve">KY</t>
  </si>
  <si>
    <t xml:space="preserve">Central African Republic</t>
  </si>
  <si>
    <t xml:space="preserve">CF</t>
  </si>
  <si>
    <t xml:space="preserve">Chad</t>
  </si>
  <si>
    <t xml:space="preserve">TD</t>
  </si>
  <si>
    <t xml:space="preserve">Code taken from "Tchad" (French)</t>
  </si>
  <si>
    <t xml:space="preserve">Chile</t>
  </si>
  <si>
    <t xml:space="preserve">CL</t>
  </si>
  <si>
    <t xml:space="preserve">China</t>
  </si>
  <si>
    <t xml:space="preserve">CN</t>
  </si>
  <si>
    <t xml:space="preserve">Officially the People's Republic of China</t>
  </si>
  <si>
    <t xml:space="preserve">Christmas Island</t>
  </si>
  <si>
    <t xml:space="preserve">CX</t>
  </si>
  <si>
    <t xml:space="preserve">Cocos (Keeling) Islands</t>
  </si>
  <si>
    <t xml:space="preserve">CC</t>
  </si>
  <si>
    <t xml:space="preserve">Colombia</t>
  </si>
  <si>
    <t xml:space="preserve">CO</t>
  </si>
  <si>
    <t xml:space="preserve">Comoros</t>
  </si>
  <si>
    <t xml:space="preserve">KM</t>
  </si>
  <si>
    <t xml:space="preserve">Republic of the Congo</t>
  </si>
  <si>
    <t xml:space="preserve">CG</t>
  </si>
  <si>
    <t xml:space="preserve">Sometimes called Congo-Brazzaville</t>
  </si>
  <si>
    <t xml:space="preserve">Democratic Republic of the Congo</t>
  </si>
  <si>
    <t xml:space="preserve">CD</t>
  </si>
  <si>
    <t xml:space="preserve">Previously named "Zaire" ZR</t>
  </si>
  <si>
    <t xml:space="preserve">Cook Islands</t>
  </si>
  <si>
    <t xml:space="preserve">CK</t>
  </si>
  <si>
    <t xml:space="preserve">Costa Rica</t>
  </si>
  <si>
    <t xml:space="preserve">CR</t>
  </si>
  <si>
    <t xml:space="preserve">Côte d'Ivoire</t>
  </si>
  <si>
    <t xml:space="preserve">CI</t>
  </si>
  <si>
    <t xml:space="preserve">Also known as Ivory Coast</t>
  </si>
  <si>
    <t xml:space="preserve">Croatia</t>
  </si>
  <si>
    <t xml:space="preserve">HR</t>
  </si>
  <si>
    <t xml:space="preserve">Code taken from "Hrvatska" (Croatian)</t>
  </si>
  <si>
    <t xml:space="preserve">Cuba</t>
  </si>
  <si>
    <t xml:space="preserve">CU</t>
  </si>
  <si>
    <t xml:space="preserve">Curaçao</t>
  </si>
  <si>
    <t xml:space="preserve">CW</t>
  </si>
  <si>
    <t xml:space="preserve">Formerly Netherlands Antilles (AN), which was Curaçao plus Bonaire, Sint Eustatius and Saba</t>
  </si>
  <si>
    <t xml:space="preserve">Cyprus</t>
  </si>
  <si>
    <t xml:space="preserve">CY</t>
  </si>
  <si>
    <t xml:space="preserve">Czech Republic</t>
  </si>
  <si>
    <t xml:space="preserve">CZ</t>
  </si>
  <si>
    <t xml:space="preserve">Denmark</t>
  </si>
  <si>
    <t xml:space="preserve">DK</t>
  </si>
  <si>
    <t xml:space="preserve">Djibouti</t>
  </si>
  <si>
    <t xml:space="preserve">DJ</t>
  </si>
  <si>
    <t xml:space="preserve">Previously named "French Territory of the Afars and the Issas" AI</t>
  </si>
  <si>
    <t xml:space="preserve">Dominica</t>
  </si>
  <si>
    <t xml:space="preserve">DM</t>
  </si>
  <si>
    <t xml:space="preserve">Dominican Republic</t>
  </si>
  <si>
    <t xml:space="preserve">DO</t>
  </si>
  <si>
    <t xml:space="preserve">Ecuador</t>
  </si>
  <si>
    <t xml:space="preserve">EC</t>
  </si>
  <si>
    <t xml:space="preserve">Egypt</t>
  </si>
  <si>
    <t xml:space="preserve">EG</t>
  </si>
  <si>
    <t xml:space="preserve">El Salvador</t>
  </si>
  <si>
    <t xml:space="preserve">SV</t>
  </si>
  <si>
    <t xml:space="preserve">Equatorial Guinea</t>
  </si>
  <si>
    <t xml:space="preserve">GQ</t>
  </si>
  <si>
    <t xml:space="preserve">Eritrea</t>
  </si>
  <si>
    <t xml:space="preserve">ER</t>
  </si>
  <si>
    <t xml:space="preserve">Estonia</t>
  </si>
  <si>
    <t xml:space="preserve">EE</t>
  </si>
  <si>
    <t xml:space="preserve">Ethiopia</t>
  </si>
  <si>
    <t xml:space="preserve">ET</t>
  </si>
  <si>
    <t xml:space="preserve">Falkland Islands</t>
  </si>
  <si>
    <t xml:space="preserve">FK</t>
  </si>
  <si>
    <t xml:space="preserve">Faroe Islands</t>
  </si>
  <si>
    <t xml:space="preserve">FO</t>
  </si>
  <si>
    <t xml:space="preserve">Fiji</t>
  </si>
  <si>
    <t xml:space="preserve">FJ</t>
  </si>
  <si>
    <t xml:space="preserve">Finland</t>
  </si>
  <si>
    <t xml:space="preserve">FI</t>
  </si>
  <si>
    <t xml:space="preserve">France</t>
  </si>
  <si>
    <t xml:space="preserve">FR</t>
  </si>
  <si>
    <t xml:space="preserve">French Guiana</t>
  </si>
  <si>
    <t xml:space="preserve">GF</t>
  </si>
  <si>
    <t xml:space="preserve">French Polynesia</t>
  </si>
  <si>
    <t xml:space="preserve">PF</t>
  </si>
  <si>
    <t xml:space="preserve">Includes Clipperton Island</t>
  </si>
  <si>
    <t xml:space="preserve">French Southern Territories</t>
  </si>
  <si>
    <t xml:space="preserve">TF</t>
  </si>
  <si>
    <t xml:space="preserve">Gabon</t>
  </si>
  <si>
    <t xml:space="preserve">GA</t>
  </si>
  <si>
    <t xml:space="preserve">Gambia</t>
  </si>
  <si>
    <t xml:space="preserve">GM</t>
  </si>
  <si>
    <t xml:space="preserve">Georgia</t>
  </si>
  <si>
    <t xml:space="preserve">GE</t>
  </si>
  <si>
    <t xml:space="preserve">GE previously represented Gilbert and Ellice Islands</t>
  </si>
  <si>
    <t xml:space="preserve">Germany</t>
  </si>
  <si>
    <t xml:space="preserve">DE</t>
  </si>
  <si>
    <t xml:space="preserve">Code taken from "Deutschland" (German)</t>
  </si>
  <si>
    <t xml:space="preserve">Ghana</t>
  </si>
  <si>
    <t xml:space="preserve">GH</t>
  </si>
  <si>
    <t xml:space="preserve">Gibraltar</t>
  </si>
  <si>
    <t xml:space="preserve">GI</t>
  </si>
  <si>
    <t xml:space="preserve">Greece</t>
  </si>
  <si>
    <t xml:space="preserve">GR</t>
  </si>
  <si>
    <t xml:space="preserve">Greenland</t>
  </si>
  <si>
    <t xml:space="preserve">GL</t>
  </si>
  <si>
    <t xml:space="preserve">Grenada</t>
  </si>
  <si>
    <t xml:space="preserve">GD</t>
  </si>
  <si>
    <t xml:space="preserve">Guadeloupe</t>
  </si>
  <si>
    <t xml:space="preserve">GP</t>
  </si>
  <si>
    <t xml:space="preserve">Guam</t>
  </si>
  <si>
    <t xml:space="preserve">GU</t>
  </si>
  <si>
    <t xml:space="preserve">Guatemala</t>
  </si>
  <si>
    <t xml:space="preserve">GT</t>
  </si>
  <si>
    <t xml:space="preserve">Guernsey</t>
  </si>
  <si>
    <t xml:space="preserve">GG</t>
  </si>
  <si>
    <t xml:space="preserve">Guinea</t>
  </si>
  <si>
    <t xml:space="preserve">GN</t>
  </si>
  <si>
    <t xml:space="preserve">Guinea-Bissau</t>
  </si>
  <si>
    <t xml:space="preserve">GW</t>
  </si>
  <si>
    <t xml:space="preserve">Guyana</t>
  </si>
  <si>
    <t xml:space="preserve">GY</t>
  </si>
  <si>
    <t xml:space="preserve">Haiti</t>
  </si>
  <si>
    <t xml:space="preserve">HT</t>
  </si>
  <si>
    <t xml:space="preserve">Heard Island and McDonald Islands</t>
  </si>
  <si>
    <t xml:space="preserve">HM</t>
  </si>
  <si>
    <t xml:space="preserve">Vatican City</t>
  </si>
  <si>
    <t xml:space="preserve">VA</t>
  </si>
  <si>
    <t xml:space="preserve">Administered by the Holy See. Previously named "Vatican City State (Holy See)"</t>
  </si>
  <si>
    <t xml:space="preserve">Honduras</t>
  </si>
  <si>
    <t xml:space="preserve">HN</t>
  </si>
  <si>
    <t xml:space="preserve">Hong Kong</t>
  </si>
  <si>
    <t xml:space="preserve">HK</t>
  </si>
  <si>
    <t xml:space="preserve">Hungary</t>
  </si>
  <si>
    <t xml:space="preserve">HU</t>
  </si>
  <si>
    <t xml:space="preserve">Iceland</t>
  </si>
  <si>
    <t xml:space="preserve">IS</t>
  </si>
  <si>
    <t xml:space="preserve">India</t>
  </si>
  <si>
    <t xml:space="preserve">IN</t>
  </si>
  <si>
    <t xml:space="preserve">Indonesia</t>
  </si>
  <si>
    <t xml:space="preserve">ID</t>
  </si>
  <si>
    <t xml:space="preserve">Iran</t>
  </si>
  <si>
    <t xml:space="preserve">IR</t>
  </si>
  <si>
    <t xml:space="preserve">Iraq</t>
  </si>
  <si>
    <t xml:space="preserve">IQ</t>
  </si>
  <si>
    <t xml:space="preserve">Ireland</t>
  </si>
  <si>
    <t xml:space="preserve">IE</t>
  </si>
  <si>
    <t xml:space="preserve">Isle of Man</t>
  </si>
  <si>
    <t xml:space="preserve">IM</t>
  </si>
  <si>
    <t xml:space="preserve">Israel</t>
  </si>
  <si>
    <t xml:space="preserve">IL</t>
  </si>
  <si>
    <t xml:space="preserve">Italy</t>
  </si>
  <si>
    <t xml:space="preserve">IT</t>
  </si>
  <si>
    <t xml:space="preserve">Jamaica</t>
  </si>
  <si>
    <t xml:space="preserve">JM</t>
  </si>
  <si>
    <t xml:space="preserve">Japan</t>
  </si>
  <si>
    <t xml:space="preserve">JP</t>
  </si>
  <si>
    <t xml:space="preserve">Jersey</t>
  </si>
  <si>
    <t xml:space="preserve">JE</t>
  </si>
  <si>
    <t xml:space="preserve">Jordan</t>
  </si>
  <si>
    <t xml:space="preserve">JO</t>
  </si>
  <si>
    <t xml:space="preserve">Kazakhstan</t>
  </si>
  <si>
    <t xml:space="preserve">KZ</t>
  </si>
  <si>
    <t xml:space="preserve">Previously named "Kazakstan"</t>
  </si>
  <si>
    <t xml:space="preserve">Kenya</t>
  </si>
  <si>
    <t xml:space="preserve">KE</t>
  </si>
  <si>
    <t xml:space="preserve">Kiribati</t>
  </si>
  <si>
    <t xml:space="preserve">KI</t>
  </si>
  <si>
    <t xml:space="preserve">North Korea</t>
  </si>
  <si>
    <t xml:space="preserve">KP</t>
  </si>
  <si>
    <t xml:space="preserve">South Korea</t>
  </si>
  <si>
    <t xml:space="preserve">KR</t>
  </si>
  <si>
    <t xml:space="preserve">Kuwait</t>
  </si>
  <si>
    <t xml:space="preserve">KW</t>
  </si>
  <si>
    <t xml:space="preserve">Kyrgyzstan</t>
  </si>
  <si>
    <t xml:space="preserve">KG</t>
  </si>
  <si>
    <t xml:space="preserve">Laos</t>
  </si>
  <si>
    <t xml:space="preserve">LA</t>
  </si>
  <si>
    <t xml:space="preserve">Latvia</t>
  </si>
  <si>
    <t xml:space="preserve">LV</t>
  </si>
  <si>
    <t xml:space="preserve">Lebanon</t>
  </si>
  <si>
    <t xml:space="preserve">LB</t>
  </si>
  <si>
    <t xml:space="preserve">Lesotho</t>
  </si>
  <si>
    <t xml:space="preserve">LS</t>
  </si>
  <si>
    <t xml:space="preserve">Liberia</t>
  </si>
  <si>
    <t xml:space="preserve">LR</t>
  </si>
  <si>
    <t xml:space="preserve">Libya</t>
  </si>
  <si>
    <t xml:space="preserve">LY</t>
  </si>
  <si>
    <t xml:space="preserve">Liechtenstein</t>
  </si>
  <si>
    <t xml:space="preserve">LI</t>
  </si>
  <si>
    <t xml:space="preserve">Lithuania</t>
  </si>
  <si>
    <t xml:space="preserve">LT</t>
  </si>
  <si>
    <t xml:space="preserve">Luxembourg</t>
  </si>
  <si>
    <t xml:space="preserve">LU</t>
  </si>
  <si>
    <t xml:space="preserve">Macao</t>
  </si>
  <si>
    <t xml:space="preserve">MO</t>
  </si>
  <si>
    <t xml:space="preserve">Previously named "Macau"</t>
  </si>
  <si>
    <t xml:space="preserve">Macedonia</t>
  </si>
  <si>
    <t xml:space="preserve">MK</t>
  </si>
  <si>
    <t xml:space="preserve">Madagascar</t>
  </si>
  <si>
    <t xml:space="preserve">MG</t>
  </si>
  <si>
    <t xml:space="preserve">Malawi</t>
  </si>
  <si>
    <t xml:space="preserve">MW</t>
  </si>
  <si>
    <t xml:space="preserve">Malaysia</t>
  </si>
  <si>
    <t xml:space="preserve">MY</t>
  </si>
  <si>
    <t xml:space="preserve">Maldives</t>
  </si>
  <si>
    <t xml:space="preserve">MV</t>
  </si>
  <si>
    <t xml:space="preserve">Mali</t>
  </si>
  <si>
    <t xml:space="preserve">ML</t>
  </si>
  <si>
    <t xml:space="preserve">Malta</t>
  </si>
  <si>
    <t xml:space="preserve">MT</t>
  </si>
  <si>
    <t xml:space="preserve">Marshall Islands</t>
  </si>
  <si>
    <t xml:space="preserve">MH</t>
  </si>
  <si>
    <t xml:space="preserve">Martinique</t>
  </si>
  <si>
    <t xml:space="preserve">MQ</t>
  </si>
  <si>
    <t xml:space="preserve">Mauritania</t>
  </si>
  <si>
    <t xml:space="preserve">MR</t>
  </si>
  <si>
    <t xml:space="preserve">Mauritius</t>
  </si>
  <si>
    <t xml:space="preserve">MU</t>
  </si>
  <si>
    <t xml:space="preserve">Mayotte</t>
  </si>
  <si>
    <t xml:space="preserve">YT</t>
  </si>
  <si>
    <t xml:space="preserve">Mexico</t>
  </si>
  <si>
    <t xml:space="preserve">MX</t>
  </si>
  <si>
    <t xml:space="preserve">Micronesia</t>
  </si>
  <si>
    <t xml:space="preserve">FM</t>
  </si>
  <si>
    <t xml:space="preserve">Moldova</t>
  </si>
  <si>
    <t xml:space="preserve">MD</t>
  </si>
  <si>
    <t xml:space="preserve">Monaco</t>
  </si>
  <si>
    <t xml:space="preserve">MC</t>
  </si>
  <si>
    <t xml:space="preserve">Mongolia</t>
  </si>
  <si>
    <t xml:space="preserve">MN</t>
  </si>
  <si>
    <t xml:space="preserve">Montenegro</t>
  </si>
  <si>
    <t xml:space="preserve">ME</t>
  </si>
  <si>
    <t xml:space="preserve">Montserrat</t>
  </si>
  <si>
    <t xml:space="preserve">MS</t>
  </si>
  <si>
    <t xml:space="preserve">Morocco</t>
  </si>
  <si>
    <t xml:space="preserve">MA</t>
  </si>
  <si>
    <t xml:space="preserve">Mozambique</t>
  </si>
  <si>
    <t xml:space="preserve">MZ</t>
  </si>
  <si>
    <t xml:space="preserve">Myanmar</t>
  </si>
  <si>
    <t xml:space="preserve">MM</t>
  </si>
  <si>
    <t xml:space="preserve">Previously named "Burma" BU</t>
  </si>
  <si>
    <t xml:space="preserve">Namibia</t>
  </si>
  <si>
    <t xml:space="preserve">NA</t>
  </si>
  <si>
    <t xml:space="preserve">Nauru</t>
  </si>
  <si>
    <t xml:space="preserve">NR</t>
  </si>
  <si>
    <t xml:space="preserve">Nepal</t>
  </si>
  <si>
    <t xml:space="preserve">NP</t>
  </si>
  <si>
    <t xml:space="preserve">Netherlands</t>
  </si>
  <si>
    <t xml:space="preserve">NL</t>
  </si>
  <si>
    <t xml:space="preserve">New Caledonia</t>
  </si>
  <si>
    <t xml:space="preserve">NC</t>
  </si>
  <si>
    <t xml:space="preserve">New Zealand</t>
  </si>
  <si>
    <t xml:space="preserve">NZ</t>
  </si>
  <si>
    <t xml:space="preserve">Nicaragua</t>
  </si>
  <si>
    <t xml:space="preserve">NI</t>
  </si>
  <si>
    <t xml:space="preserve">Niger</t>
  </si>
  <si>
    <t xml:space="preserve">NE</t>
  </si>
  <si>
    <t xml:space="preserve">Nigeria</t>
  </si>
  <si>
    <t xml:space="preserve">NG</t>
  </si>
  <si>
    <t xml:space="preserve">Niue</t>
  </si>
  <si>
    <t xml:space="preserve">NU</t>
  </si>
  <si>
    <t xml:space="preserve">Norfolk Island</t>
  </si>
  <si>
    <t xml:space="preserve">NF</t>
  </si>
  <si>
    <t xml:space="preserve">Northern Mariana Islands</t>
  </si>
  <si>
    <t xml:space="preserve">MP</t>
  </si>
  <si>
    <t xml:space="preserve">Norway</t>
  </si>
  <si>
    <t xml:space="preserve">NO</t>
  </si>
  <si>
    <t xml:space="preserve">Oman</t>
  </si>
  <si>
    <t xml:space="preserve">OM</t>
  </si>
  <si>
    <t xml:space="preserve">Pakistan</t>
  </si>
  <si>
    <t xml:space="preserve">PK</t>
  </si>
  <si>
    <t xml:space="preserve">Palau</t>
  </si>
  <si>
    <t xml:space="preserve">PW</t>
  </si>
  <si>
    <t xml:space="preserve">Palestinian Territory</t>
  </si>
  <si>
    <t xml:space="preserve">PS</t>
  </si>
  <si>
    <t xml:space="preserve">Panama</t>
  </si>
  <si>
    <t xml:space="preserve">PA</t>
  </si>
  <si>
    <t xml:space="preserve">Papua New Guinea</t>
  </si>
  <si>
    <t xml:space="preserve">PG</t>
  </si>
  <si>
    <t xml:space="preserve">Paraguay</t>
  </si>
  <si>
    <t xml:space="preserve">PY</t>
  </si>
  <si>
    <t xml:space="preserve">Peru</t>
  </si>
  <si>
    <t xml:space="preserve">PE</t>
  </si>
  <si>
    <t xml:space="preserve">Philippines</t>
  </si>
  <si>
    <t xml:space="preserve">PH</t>
  </si>
  <si>
    <t xml:space="preserve">Pitcairn</t>
  </si>
  <si>
    <t xml:space="preserve">PN</t>
  </si>
  <si>
    <t xml:space="preserve">Poland</t>
  </si>
  <si>
    <t xml:space="preserve">PL</t>
  </si>
  <si>
    <t xml:space="preserve">Portugal</t>
  </si>
  <si>
    <t xml:space="preserve">PT</t>
  </si>
  <si>
    <t xml:space="preserve">Puerto Rico</t>
  </si>
  <si>
    <t xml:space="preserve">PR</t>
  </si>
  <si>
    <t xml:space="preserve">Qatar</t>
  </si>
  <si>
    <t xml:space="preserve">QA</t>
  </si>
  <si>
    <t xml:space="preserve">Réunion</t>
  </si>
  <si>
    <t xml:space="preserve">RE</t>
  </si>
  <si>
    <t xml:space="preserve">Romania</t>
  </si>
  <si>
    <t xml:space="preserve">RO</t>
  </si>
  <si>
    <t xml:space="preserve">Russia</t>
  </si>
  <si>
    <t xml:space="preserve">RU</t>
  </si>
  <si>
    <t xml:space="preserve">Rwanda</t>
  </si>
  <si>
    <t xml:space="preserve">RW</t>
  </si>
  <si>
    <t xml:space="preserve">Saint Barthélemy</t>
  </si>
  <si>
    <t xml:space="preserve">BL</t>
  </si>
  <si>
    <t xml:space="preserve">Saint Helena, Ascension and Tristan da Cunha</t>
  </si>
  <si>
    <t xml:space="preserve">SH</t>
  </si>
  <si>
    <t xml:space="preserve">Previously known as Saint Helena and Dependencies</t>
  </si>
  <si>
    <t xml:space="preserve">Saint Kitts and Nevis</t>
  </si>
  <si>
    <t xml:space="preserve">KN</t>
  </si>
  <si>
    <t xml:space="preserve">Previously named "Saint Kitts-Nevis-Anguilla"</t>
  </si>
  <si>
    <t xml:space="preserve">Saint Lucia</t>
  </si>
  <si>
    <t xml:space="preserve">LC</t>
  </si>
  <si>
    <t xml:space="preserve">Saint Martin</t>
  </si>
  <si>
    <t xml:space="preserve">SX</t>
  </si>
  <si>
    <t xml:space="preserve">This encompasses the northern parts of Saint Martin island and neighbouring islets. The southern part of the island is Sint Maarten.</t>
  </si>
  <si>
    <t xml:space="preserve">Saint Pierre and Miquelon</t>
  </si>
  <si>
    <t xml:space="preserve">PM</t>
  </si>
  <si>
    <t xml:space="preserve">Saint Vincent and the Grenadines</t>
  </si>
  <si>
    <t xml:space="preserve">VC</t>
  </si>
  <si>
    <t xml:space="preserve">Samoa</t>
  </si>
  <si>
    <t xml:space="preserve">WS</t>
  </si>
  <si>
    <t xml:space="preserve">San Marino</t>
  </si>
  <si>
    <t xml:space="preserve">SM</t>
  </si>
  <si>
    <t xml:space="preserve">Sao Tome and Principe</t>
  </si>
  <si>
    <t xml:space="preserve">ST</t>
  </si>
  <si>
    <t xml:space="preserve">Saudi Arabia</t>
  </si>
  <si>
    <t xml:space="preserve">SA</t>
  </si>
  <si>
    <t xml:space="preserve">Senegal</t>
  </si>
  <si>
    <t xml:space="preserve">SN</t>
  </si>
  <si>
    <t xml:space="preserve">Serbia</t>
  </si>
  <si>
    <t xml:space="preserve">RS</t>
  </si>
  <si>
    <t xml:space="preserve">Seychelles</t>
  </si>
  <si>
    <t xml:space="preserve">SC</t>
  </si>
  <si>
    <t xml:space="preserve">Sierra Leone</t>
  </si>
  <si>
    <t xml:space="preserve">SL</t>
  </si>
  <si>
    <t xml:space="preserve">Singapore</t>
  </si>
  <si>
    <t xml:space="preserve">SG</t>
  </si>
  <si>
    <t xml:space="preserve">Sint Maarten</t>
  </si>
  <si>
    <t xml:space="preserve">MF</t>
  </si>
  <si>
    <t xml:space="preserve">This encompasses the southern half of the Caribbean island of Saint Martin, while the northern half of the island constitutes the French overseas collectivity of Saint-Martin.</t>
  </si>
  <si>
    <t xml:space="preserve">Slovakia</t>
  </si>
  <si>
    <t xml:space="preserve">SK</t>
  </si>
  <si>
    <t xml:space="preserve">SK previously represented Sikkim</t>
  </si>
  <si>
    <t xml:space="preserve">Slovenia</t>
  </si>
  <si>
    <t xml:space="preserve">SI</t>
  </si>
  <si>
    <t xml:space="preserve">Solomon Islands</t>
  </si>
  <si>
    <t xml:space="preserve">SB</t>
  </si>
  <si>
    <t xml:space="preserve">Somalia</t>
  </si>
  <si>
    <t xml:space="preserve">SO</t>
  </si>
  <si>
    <t xml:space="preserve">South Africa</t>
  </si>
  <si>
    <t xml:space="preserve">ZA</t>
  </si>
  <si>
    <t xml:space="preserve">Code taken from "Zuid-Afrika" (Dutch)</t>
  </si>
  <si>
    <t xml:space="preserve">South Georgia and the South Sandwich Islands</t>
  </si>
  <si>
    <t xml:space="preserve">GS</t>
  </si>
  <si>
    <t xml:space="preserve">South Sudan</t>
  </si>
  <si>
    <t xml:space="preserve">SS</t>
  </si>
  <si>
    <t xml:space="preserve">Spain</t>
  </si>
  <si>
    <t xml:space="preserve">ES</t>
  </si>
  <si>
    <t xml:space="preserve">Includes Canary Islands, Ceuta and Melilla. Code taken from "España" (Spanish)</t>
  </si>
  <si>
    <t xml:space="preserve">Sri Lanka</t>
  </si>
  <si>
    <t xml:space="preserve">LK</t>
  </si>
  <si>
    <t xml:space="preserve">Sudan</t>
  </si>
  <si>
    <t xml:space="preserve">SD</t>
  </si>
  <si>
    <t xml:space="preserve">Suriname</t>
  </si>
  <si>
    <t xml:space="preserve">SR</t>
  </si>
  <si>
    <t xml:space="preserve">Svalbard and Jan Mayen</t>
  </si>
  <si>
    <t xml:space="preserve">SJ</t>
  </si>
  <si>
    <t xml:space="preserve">Swaziland</t>
  </si>
  <si>
    <t xml:space="preserve">SZ</t>
  </si>
  <si>
    <t xml:space="preserve">Sweden</t>
  </si>
  <si>
    <t xml:space="preserve">SE</t>
  </si>
  <si>
    <t xml:space="preserve">Switzerland</t>
  </si>
  <si>
    <t xml:space="preserve">CH</t>
  </si>
  <si>
    <t xml:space="preserve">Code taken from "Confoederatio Helvetica" (Latin)</t>
  </si>
  <si>
    <t xml:space="preserve">Syria</t>
  </si>
  <si>
    <t xml:space="preserve">SY</t>
  </si>
  <si>
    <t xml:space="preserve">Taiwan</t>
  </si>
  <si>
    <t xml:space="preserve">TW</t>
  </si>
  <si>
    <t xml:space="preserve">Tajikistan</t>
  </si>
  <si>
    <t xml:space="preserve">TJ</t>
  </si>
  <si>
    <t xml:space="preserve">Tanzania</t>
  </si>
  <si>
    <t xml:space="preserve">TZ</t>
  </si>
  <si>
    <t xml:space="preserve">Thailand</t>
  </si>
  <si>
    <t xml:space="preserve">TH</t>
  </si>
  <si>
    <t xml:space="preserve">Timor-Leste</t>
  </si>
  <si>
    <t xml:space="preserve">TL</t>
  </si>
  <si>
    <t xml:space="preserve">Previously used the code TP. Previously named "East Timor"</t>
  </si>
  <si>
    <t xml:space="preserve">Togo</t>
  </si>
  <si>
    <t xml:space="preserve">TG</t>
  </si>
  <si>
    <t xml:space="preserve">Tokelau</t>
  </si>
  <si>
    <t xml:space="preserve">TK</t>
  </si>
  <si>
    <t xml:space="preserve">Tonga</t>
  </si>
  <si>
    <t xml:space="preserve">TO</t>
  </si>
  <si>
    <t xml:space="preserve">Trinidad and Tobago</t>
  </si>
  <si>
    <t xml:space="preserve">TT</t>
  </si>
  <si>
    <t xml:space="preserve">Tunisia</t>
  </si>
  <si>
    <t xml:space="preserve">TN</t>
  </si>
  <si>
    <t xml:space="preserve">Turkey</t>
  </si>
  <si>
    <t xml:space="preserve">TR</t>
  </si>
  <si>
    <t xml:space="preserve">Turkmenistan</t>
  </si>
  <si>
    <t xml:space="preserve">TM</t>
  </si>
  <si>
    <t xml:space="preserve">Turks and Caicos Islands</t>
  </si>
  <si>
    <t xml:space="preserve">TC</t>
  </si>
  <si>
    <t xml:space="preserve">Tuvalu</t>
  </si>
  <si>
    <t xml:space="preserve">TV</t>
  </si>
  <si>
    <t xml:space="preserve">UG</t>
  </si>
  <si>
    <t xml:space="preserve">Ukraine</t>
  </si>
  <si>
    <t xml:space="preserve">UA</t>
  </si>
  <si>
    <t xml:space="preserve">Previously named "Ukrainian S.S.R."</t>
  </si>
  <si>
    <t xml:space="preserve">United Arab Emirates</t>
  </si>
  <si>
    <t xml:space="preserve">AE</t>
  </si>
  <si>
    <t xml:space="preserve">United Kingdom</t>
  </si>
  <si>
    <t xml:space="preserve">GB</t>
  </si>
  <si>
    <t xml:space="preserve">Code taken from "Great Britain"</t>
  </si>
  <si>
    <t xml:space="preserve">US</t>
  </si>
  <si>
    <t xml:space="preserve">United States Minor Outlying Islands</t>
  </si>
  <si>
    <t xml:space="preserve">UM</t>
  </si>
  <si>
    <t xml:space="preserve">Consisting of Baker Island, Howland Island, Jarvis Island, Johnston Atoll, Kingman Reef, Midway Atoll, Navassa Island, Palmyra Atoll, and Wake Island</t>
  </si>
  <si>
    <t xml:space="preserve">Uruguay</t>
  </si>
  <si>
    <t xml:space="preserve">UY</t>
  </si>
  <si>
    <t xml:space="preserve">Uzbekistan</t>
  </si>
  <si>
    <t xml:space="preserve">UZ</t>
  </si>
  <si>
    <t xml:space="preserve">Vanuatu</t>
  </si>
  <si>
    <t xml:space="preserve">VU</t>
  </si>
  <si>
    <t xml:space="preserve">Previously named "New Hebrides" NH</t>
  </si>
  <si>
    <t xml:space="preserve">Venezuela</t>
  </si>
  <si>
    <t xml:space="preserve">VE</t>
  </si>
  <si>
    <t xml:space="preserve">Viet Nam</t>
  </si>
  <si>
    <t xml:space="preserve">VN</t>
  </si>
  <si>
    <t xml:space="preserve">British Virgin Islands</t>
  </si>
  <si>
    <t xml:space="preserve">VG</t>
  </si>
  <si>
    <t xml:space="preserve">U.S. Virgin Islands</t>
  </si>
  <si>
    <t xml:space="preserve">VI</t>
  </si>
  <si>
    <t xml:space="preserve">Wallis and Futuna</t>
  </si>
  <si>
    <t xml:space="preserve">WF</t>
  </si>
  <si>
    <t xml:space="preserve">Western Sahara</t>
  </si>
  <si>
    <t xml:space="preserve">EH</t>
  </si>
  <si>
    <t xml:space="preserve">Previously named "Spanish Sahara"</t>
  </si>
  <si>
    <t xml:space="preserve">Yemen</t>
  </si>
  <si>
    <t xml:space="preserve">YE</t>
  </si>
  <si>
    <t xml:space="preserve">Previously named "Yemen, Republic of"</t>
  </si>
  <si>
    <t xml:space="preserve">Zambia</t>
  </si>
  <si>
    <t xml:space="preserve">ZM</t>
  </si>
  <si>
    <t xml:space="preserve">Zimbabwe</t>
  </si>
  <si>
    <t xml:space="preserve">ZW</t>
  </si>
  <si>
    <t xml:space="preserve">Previously named "Rhodesia" RH</t>
  </si>
  <si>
    <t xml:space="preserve">Bioregion</t>
  </si>
  <si>
    <t xml:space="preserve">description: For limits  in China and Mexico see map at:http://en.wikipedia.org/wiki/File:Ecozones.svg</t>
  </si>
  <si>
    <t xml:space="preserve">Nearctic </t>
  </si>
  <si>
    <t xml:space="preserve">including most of North America</t>
  </si>
  <si>
    <t xml:space="preserve">Neotropic</t>
  </si>
  <si>
    <t xml:space="preserve">including South America and the Caribbean</t>
  </si>
  <si>
    <t xml:space="preserve">Palearctic</t>
  </si>
  <si>
    <t xml:space="preserve">including the bulk of Eurasia and North Africa</t>
  </si>
  <si>
    <t xml:space="preserve">Afrotropic</t>
  </si>
  <si>
    <t xml:space="preserve">including Sub-Saharan Africa</t>
  </si>
  <si>
    <t xml:space="preserve">Malagasy</t>
  </si>
  <si>
    <t xml:space="preserve">Madagascar and Southwest Indian Ocean Islands including Seychelles, Comoros, Mascarenes</t>
  </si>
  <si>
    <t xml:space="preserve">Indomalaya</t>
  </si>
  <si>
    <t xml:space="preserve">including the Indian subcontinent and Southeast Asia</t>
  </si>
  <si>
    <t xml:space="preserve">Australasia</t>
  </si>
  <si>
    <t xml:space="preserve">including Australia, New Guinea, and neighboring islands. The northern boundary of this zone is known as the Wallace line.</t>
  </si>
  <si>
    <t xml:space="preserve">Oceania</t>
  </si>
  <si>
    <t xml:space="preserve">Pacific Ocean islands including Polynesia, Melanesia, Micronesia.</t>
  </si>
  <si>
    <t xml:space="preserve">Family</t>
  </si>
  <si>
    <t xml:space="preserve">species</t>
  </si>
  <si>
    <t xml:space="preserve">comment</t>
  </si>
  <si>
    <t xml:space="preserve">Formicidae</t>
  </si>
  <si>
    <t xml:space="preserve">(Formicidae) </t>
  </si>
  <si>
    <t xml:space="preserve">(indet)</t>
  </si>
  <si>
    <t xml:space="preserve">identified only to family</t>
  </si>
  <si>
    <t xml:space="preserve">Amblyoponinae </t>
  </si>
  <si>
    <t xml:space="preserve">(Amblyoponinae)</t>
  </si>
  <si>
    <t xml:space="preserve">identified only to subfamily</t>
  </si>
  <si>
    <t xml:space="preserve">Amblyopone </t>
  </si>
  <si>
    <t xml:space="preserve">identified only to genus, do not use sp. or undet to indicate indetermined to species. </t>
  </si>
  <si>
    <t xml:space="preserve">Adetomyrma</t>
  </si>
  <si>
    <t xml:space="preserve">MG01</t>
  </si>
  <si>
    <t xml:space="preserve">morphospecies code for Madagscar region</t>
  </si>
  <si>
    <t xml:space="preserve">Amblyopone</t>
  </si>
  <si>
    <t xml:space="preserve">AFRC-TZ01</t>
  </si>
  <si>
    <t xml:space="preserve">morphospecies code for the AFRC collection</t>
  </si>
  <si>
    <t xml:space="preserve">Formica</t>
  </si>
  <si>
    <t xml:space="preserve">planipilis_cf</t>
  </si>
  <si>
    <t xml:space="preserve">To indicate uncertainty in a name, append _cf or _nr following the name.  Use _cf instead of Formica planipilis?  </t>
  </si>
  <si>
    <t xml:space="preserve">Anochetus</t>
  </si>
  <si>
    <t xml:space="preserve">graeffei_nr</t>
  </si>
  <si>
    <t xml:space="preserve"> _cf for taxa that close to or conspecific to named taxon and _nr for taxa that are close to named taxon but not conspecific.  </t>
  </si>
  <si>
    <t xml:space="preserve">Stenamma </t>
  </si>
  <si>
    <t xml:space="preserve">punctatoventre_cfCA01</t>
  </si>
  <si>
    <t xml:space="preserve">punctatoventre_cfCA02</t>
  </si>
  <si>
    <t xml:space="preserve">punctatoventre_cfCA02 is distinct from punctatoventre_cfCA01</t>
  </si>
  <si>
    <t xml:space="preserve">Cerapachyinae</t>
  </si>
  <si>
    <t xml:space="preserve">Cerapachyine_genus1</t>
  </si>
  <si>
    <t xml:space="preserve">unnamed genus in Cerapachyinae, unamed species in Madagascar</t>
  </si>
  <si>
    <t xml:space="preserve">Guidelines for unnamed taxa</t>
  </si>
  <si>
    <t xml:space="preserve">1) "-" or space is the only acceptable character in species names; thus no periods, ? , /, #  in names</t>
  </si>
  <si>
    <t xml:space="preserve">2) genus names must be without spaces, use underscore to join two words.</t>
  </si>
  <si>
    <t xml:space="preserve">3) spaces ok between species and subspecies</t>
  </si>
  <si>
    <t xml:space="preserve">4) nr and cf at end of name, use _cf or _nr</t>
  </si>
  <si>
    <t xml:space="preserve">5) "sp." or "sp" not used as part of name</t>
  </si>
  <si>
    <t xml:space="preserve">6) morphospecies</t>
  </si>
  <si>
    <t xml:space="preserve">a) no dashes between letters and numbers</t>
  </si>
  <si>
    <t xml:space="preserve">b) dashes only between initials and manuscripts names</t>
  </si>
  <si>
    <t xml:space="preserve">c) always include numbers in morphospecies codes</t>
  </si>
  <si>
    <t xml:space="preserve">AMNH</t>
  </si>
  <si>
    <t xml:space="preserve">American Museum of Natural History, New York, NY, USA</t>
  </si>
  <si>
    <t xml:space="preserve">AMSA</t>
  </si>
  <si>
    <t xml:space="preserve">Australian Museum, Sydney, Australia</t>
  </si>
  <si>
    <t xml:space="preserve">ANIC</t>
  </si>
  <si>
    <t xml:space="preserve">Australian National Insect Collection, CSIRO, Canberra, Australia</t>
  </si>
  <si>
    <t xml:space="preserve">BMNH</t>
  </si>
  <si>
    <t xml:space="preserve">Natural History Museum, London, U. K.</t>
  </si>
  <si>
    <t xml:space="preserve">California Academy of Sciences, San Francisco, CA, USA</t>
  </si>
  <si>
    <t xml:space="preserve">CESB</t>
  </si>
  <si>
    <t xml:space="preserve">Centre for Ecological Sciences, Indian Institute of Science, Bangalore, India</t>
  </si>
  <si>
    <t xml:space="preserve">CMNH</t>
  </si>
  <si>
    <t xml:space="preserve">Carnegie Museum of Natural History, Pittsburg, PA, USA</t>
  </si>
  <si>
    <t xml:space="preserve">CPDC</t>
  </si>
  <si>
    <t xml:space="preserve">Jacques Delabie Collection, CEPEC/CEPLAC, Itabuna, Bahia, Brazil</t>
  </si>
  <si>
    <t xml:space="preserve">CUIC</t>
  </si>
  <si>
    <t xml:space="preserve">Cornell University Insect Collection, Ithaca, NY, USA</t>
  </si>
  <si>
    <t xml:space="preserve">DZUC</t>
  </si>
  <si>
    <t xml:space="preserve">Department of Zoology, University of Calicut, Kerala, India</t>
  </si>
  <si>
    <t xml:space="preserve">FRCK</t>
  </si>
  <si>
    <t xml:space="preserve">Forest Research Centre, Kuching, Sarawak, Malaysia</t>
  </si>
  <si>
    <t xml:space="preserve">HNHM</t>
  </si>
  <si>
    <t xml:space="preserve">Hungarian Natural History Museum, Budapest, Hungary</t>
  </si>
  <si>
    <t xml:space="preserve">HZIC</t>
  </si>
  <si>
    <t xml:space="preserve">Herbert Zettel Collection, Vienna, Austria</t>
  </si>
  <si>
    <t xml:space="preserve">JDMC</t>
  </si>
  <si>
    <t xml:space="preserve">J. D. Majer Collection, Curtin University of Technology, Perth, Australia</t>
  </si>
  <si>
    <t xml:space="preserve">KFBG</t>
  </si>
  <si>
    <t xml:space="preserve">Kadoorie Farm and Botanic Garden, Hong Kong, China</t>
  </si>
  <si>
    <t xml:space="preserve">KUBC</t>
  </si>
  <si>
    <t xml:space="preserve">Faculty of Forestry, Kasetsart University, Bangkok, Thailand</t>
  </si>
  <si>
    <t xml:space="preserve">KUEC</t>
  </si>
  <si>
    <t xml:space="preserve">Institute of Tropical Agriculture, Kyushu University, Fukuoka, Japan</t>
  </si>
  <si>
    <t xml:space="preserve">KUES</t>
  </si>
  <si>
    <t xml:space="preserve">Seiki Yamane Collection, Kagoshima University, Kagoshima, Japan</t>
  </si>
  <si>
    <t xml:space="preserve">LACM</t>
  </si>
  <si>
    <t xml:space="preserve">Natural History Museum of Los Angeles County, Los Angeles, CA, USA</t>
  </si>
  <si>
    <t xml:space="preserve">MCSN</t>
  </si>
  <si>
    <t xml:space="preserve">Museo Civico de Historia Natural “Giacomo Doria”, Genoa, Italy</t>
  </si>
  <si>
    <t xml:space="preserve">MCZC</t>
  </si>
  <si>
    <t xml:space="preserve">Museum of Comparative Zoology, Harvard University, Cambridge, MA, USA</t>
  </si>
  <si>
    <t xml:space="preserve">MHNG</t>
  </si>
  <si>
    <t xml:space="preserve">Muséum d’Histoire Naturelle, Geneva, Switzerland</t>
  </si>
  <si>
    <t xml:space="preserve">MNHN</t>
  </si>
  <si>
    <t xml:space="preserve">Muséum National d’Histoire Naturelle, Paris, France</t>
  </si>
  <si>
    <t xml:space="preserve">MRAC</t>
  </si>
  <si>
    <t xml:space="preserve">Musée Royal de l’Afrique Centrale, Tervuren, Belgium</t>
  </si>
  <si>
    <t xml:space="preserve">MZLU</t>
  </si>
  <si>
    <t xml:space="preserve">Museum of Zoology, Lund University, Lund, Sweden</t>
  </si>
  <si>
    <t xml:space="preserve">NHMB</t>
  </si>
  <si>
    <t xml:space="preserve">Naturhistorisches Museum, Basel, Switzerland</t>
  </si>
  <si>
    <t xml:space="preserve">NHMV</t>
  </si>
  <si>
    <t xml:space="preserve">Naturhistorisches Museum, Vienna, Austria</t>
  </si>
  <si>
    <t xml:space="preserve">NMKE</t>
  </si>
  <si>
    <t xml:space="preserve">National Museums of Kenya, Nairobi, Kenya</t>
  </si>
  <si>
    <t xml:space="preserve">NMWN</t>
  </si>
  <si>
    <t xml:space="preserve">National Museum of Namibia, Windhoek, Namibia</t>
  </si>
  <si>
    <t xml:space="preserve">NTUC</t>
  </si>
  <si>
    <t xml:space="preserve">Department of Entomology, National Taiwan University, Taipei, Taiwan</t>
  </si>
  <si>
    <t xml:space="preserve">OXUM</t>
  </si>
  <si>
    <t xml:space="preserve">Hope Entomological Collections, University Museum, Oxford, UK</t>
  </si>
  <si>
    <t xml:space="preserve">PSWC</t>
  </si>
  <si>
    <t xml:space="preserve">P. S. Ward Collection, University of California at Davis, CA, USA</t>
  </si>
  <si>
    <t xml:space="preserve">RMBR</t>
  </si>
  <si>
    <t xml:space="preserve"> Raffles Museum of Biodiversity Research, National University of Singapore, Singapore</t>
  </si>
  <si>
    <t xml:space="preserve">RMNH</t>
  </si>
  <si>
    <t xml:space="preserve">Nationaal Natuurhistorische Museum, Leiden, Netherlands</t>
  </si>
  <si>
    <t xml:space="preserve">ROME</t>
  </si>
  <si>
    <t xml:space="preserve">Royal Ontario Museum, Toronto, Canada</t>
  </si>
  <si>
    <t xml:space="preserve">SAMC</t>
  </si>
  <si>
    <t xml:space="preserve">South African Museum, Cape Town, South Africa</t>
  </si>
  <si>
    <t xml:space="preserve">SMNK</t>
  </si>
  <si>
    <t xml:space="preserve">Staatliches Museum für Naturkunde, Karlsruhe, Germany</t>
  </si>
  <si>
    <t xml:space="preserve">TERC</t>
  </si>
  <si>
    <t xml:space="preserve">Tropical Ecosystems Research Centre, CSIRO, Winnellie, Australia</t>
  </si>
  <si>
    <t xml:space="preserve">UASK</t>
  </si>
  <si>
    <t xml:space="preserve">Institute of Zoology, Ukrainian Academy of Science, Kiev, Ukraine</t>
  </si>
  <si>
    <t xml:space="preserve">Bohart Museum of Entomology, University of California at Davis, CA, USA</t>
  </si>
  <si>
    <t xml:space="preserve">UCRC</t>
  </si>
  <si>
    <t xml:space="preserve">Entomology Research Museum, University of California at Riverside, CA, USA</t>
  </si>
  <si>
    <t xml:space="preserve">Entomology Research Museum, University of Californian at Riverside, CA, USA</t>
  </si>
  <si>
    <t xml:space="preserve">UMSC</t>
  </si>
  <si>
    <t xml:space="preserve">Institute for Tropical Biology and Conservation, Universiti Malaysia Sabah, Kota Kinabalu, Malaysia</t>
  </si>
  <si>
    <t xml:space="preserve">USNM</t>
  </si>
  <si>
    <t xml:space="preserve">National Museum of Natural History, Washington, DC, USA</t>
  </si>
  <si>
    <t xml:space="preserve">ZMAS</t>
  </si>
  <si>
    <t xml:space="preserve">Zoological Institute, Russian Academy of Science, St Petersburg, Russia</t>
  </si>
  <si>
    <t xml:space="preserve">Zoological Institute, Russian Academy of Science, St. Petersburg, Russia</t>
  </si>
  <si>
    <t xml:space="preserve">ZMHB</t>
  </si>
  <si>
    <t xml:space="preserve">Museum für Naturkunde der Humboldt Universität, Berlin, Germany</t>
  </si>
  <si>
    <t xml:space="preserve">ZMPA</t>
  </si>
  <si>
    <t xml:space="preserve">Institute of Zoology, Polish Academy of Sciences, Warsaw, Poland</t>
  </si>
  <si>
    <t xml:space="preserve">ZMUM</t>
  </si>
  <si>
    <t xml:space="preserve">Zoological Museum, University of Moscow, Moscow, Russia</t>
  </si>
  <si>
    <t xml:space="preserve">MZSP</t>
  </si>
  <si>
    <t xml:space="preserve">Museu de Zoologia da USP, São Paulo</t>
  </si>
  <si>
    <t xml:space="preserve">Examples of Acronyms of ant collections</t>
  </si>
</sst>
</file>

<file path=xl/styles.xml><?xml version="1.0" encoding="utf-8"?>
<styleSheet xmlns="http://schemas.openxmlformats.org/spreadsheetml/2006/main">
  <numFmts count="5">
    <numFmt numFmtId="164" formatCode="General"/>
    <numFmt numFmtId="165" formatCode="[$-409]d\-mmm\-yyyy;@"/>
    <numFmt numFmtId="166" formatCode="0.00000"/>
    <numFmt numFmtId="167" formatCode="@"/>
    <numFmt numFmtId="168" formatCode="0.00"/>
  </numFmts>
  <fonts count="47">
    <font>
      <sz val="10"/>
      <name val="Arial"/>
      <family val="0"/>
      <charset val="1"/>
    </font>
    <font>
      <sz val="10"/>
      <name val="Arial"/>
      <family val="0"/>
    </font>
    <font>
      <sz val="10"/>
      <name val="Arial"/>
      <family val="0"/>
    </font>
    <font>
      <sz val="10"/>
      <name val="Arial"/>
      <family val="0"/>
    </font>
    <font>
      <sz val="10"/>
      <color rgb="FF000000"/>
      <name val="Arial"/>
      <family val="2"/>
      <charset val="1"/>
    </font>
    <font>
      <sz val="10"/>
      <color rgb="FFFFFFFF"/>
      <name val="Arial"/>
      <family val="2"/>
      <charset val="1"/>
    </font>
    <font>
      <sz val="10"/>
      <color rgb="FF900000"/>
      <name val="Arial"/>
      <family val="2"/>
      <charset val="1"/>
    </font>
    <font>
      <b val="true"/>
      <sz val="10"/>
      <color rgb="FFFF6600"/>
      <name val="Arial"/>
      <family val="2"/>
      <charset val="1"/>
    </font>
    <font>
      <b val="true"/>
      <sz val="10"/>
      <color rgb="FFFFFFFF"/>
      <name val="Arial"/>
      <family val="2"/>
      <charset val="1"/>
    </font>
    <font>
      <i val="true"/>
      <sz val="10"/>
      <color rgb="FF808080"/>
      <name val="Arial"/>
      <family val="2"/>
      <charset val="1"/>
    </font>
    <font>
      <sz val="10"/>
      <color rgb="FF006411"/>
      <name val="Arial"/>
      <family val="2"/>
      <charset val="1"/>
    </font>
    <font>
      <sz val="11"/>
      <color rgb="FF006411"/>
      <name val="Calibri"/>
      <family val="2"/>
      <charset val="1"/>
    </font>
    <font>
      <b val="true"/>
      <sz val="15"/>
      <color rgb="FF003366"/>
      <name val="Arial"/>
      <family val="2"/>
      <charset val="1"/>
    </font>
    <font>
      <b val="true"/>
      <sz val="13"/>
      <color rgb="FF003366"/>
      <name val="Arial"/>
      <family val="2"/>
      <charset val="1"/>
    </font>
    <font>
      <b val="true"/>
      <sz val="11"/>
      <color rgb="FF003366"/>
      <name val="Arial"/>
      <family val="2"/>
      <charset val="1"/>
    </font>
    <font>
      <sz val="10"/>
      <color rgb="FF333399"/>
      <name val="Arial"/>
      <family val="2"/>
      <charset val="1"/>
    </font>
    <font>
      <sz val="10"/>
      <color rgb="FFFF6600"/>
      <name val="Arial"/>
      <family val="2"/>
      <charset val="1"/>
    </font>
    <font>
      <sz val="10"/>
      <color rgb="FF993300"/>
      <name val="Arial"/>
      <family val="2"/>
      <charset val="1"/>
    </font>
    <font>
      <sz val="11"/>
      <color rgb="FF993300"/>
      <name val="Calibri"/>
      <family val="2"/>
      <charset val="1"/>
    </font>
    <font>
      <b val="true"/>
      <sz val="10"/>
      <color rgb="FF333333"/>
      <name val="Arial"/>
      <family val="2"/>
      <charset val="1"/>
    </font>
    <font>
      <b val="true"/>
      <sz val="18"/>
      <color rgb="FF003366"/>
      <name val="Cambria"/>
      <family val="2"/>
      <charset val="1"/>
    </font>
    <font>
      <b val="true"/>
      <sz val="10"/>
      <color rgb="FF000000"/>
      <name val="Arial"/>
      <family val="2"/>
      <charset val="1"/>
    </font>
    <font>
      <sz val="10"/>
      <color rgb="FFDD0806"/>
      <name val="Arial"/>
      <family val="2"/>
      <charset val="1"/>
    </font>
    <font>
      <b val="true"/>
      <sz val="10"/>
      <color rgb="FF00B0F0"/>
      <name val="Arial"/>
      <family val="2"/>
      <charset val="1"/>
    </font>
    <font>
      <sz val="10"/>
      <color rgb="FF00B0F0"/>
      <name val="Arial"/>
      <family val="2"/>
      <charset val="1"/>
    </font>
    <font>
      <b val="true"/>
      <sz val="10"/>
      <color rgb="FF92D050"/>
      <name val="Arial"/>
      <family val="2"/>
      <charset val="1"/>
    </font>
    <font>
      <sz val="10"/>
      <name val="Arial"/>
      <family val="2"/>
    </font>
    <font>
      <b val="true"/>
      <sz val="10"/>
      <color theme="5"/>
      <name val="Arial"/>
      <family val="2"/>
      <charset val="1"/>
    </font>
    <font>
      <b val="true"/>
      <sz val="12"/>
      <color theme="3" tint="0.3999"/>
      <name val="Arial"/>
      <family val="2"/>
      <charset val="1"/>
    </font>
    <font>
      <sz val="10"/>
      <color theme="1"/>
      <name val="Arial"/>
      <family val="2"/>
      <charset val="1"/>
    </font>
    <font>
      <b val="true"/>
      <sz val="12"/>
      <color rgb="FF000000"/>
      <name val="Arial"/>
      <family val="2"/>
      <charset val="1"/>
    </font>
    <font>
      <sz val="12"/>
      <color rgb="FF000000"/>
      <name val="Arial"/>
      <family val="2"/>
      <charset val="1"/>
    </font>
    <font>
      <b val="true"/>
      <sz val="12"/>
      <color rgb="FF538DD5"/>
      <name val="Arial"/>
      <family val="2"/>
      <charset val="1"/>
    </font>
    <font>
      <sz val="10"/>
      <color rgb="FF92D050"/>
      <name val="Arial"/>
      <family val="2"/>
      <charset val="1"/>
    </font>
    <font>
      <b val="true"/>
      <sz val="11"/>
      <name val="Arial"/>
      <family val="2"/>
      <charset val="1"/>
    </font>
    <font>
      <b val="true"/>
      <sz val="10"/>
      <name val="Arial"/>
      <family val="2"/>
      <charset val="1"/>
    </font>
    <font>
      <b val="true"/>
      <sz val="12"/>
      <name val="Arial"/>
      <family val="2"/>
      <charset val="1"/>
    </font>
    <font>
      <sz val="10"/>
      <name val="Arial"/>
      <family val="2"/>
      <charset val="1"/>
    </font>
    <font>
      <b val="true"/>
      <sz val="10"/>
      <color rgb="FF0000D4"/>
      <name val="Arial"/>
      <family val="2"/>
      <charset val="1"/>
    </font>
    <font>
      <b val="true"/>
      <sz val="11"/>
      <color theme="1"/>
      <name val="Calibri"/>
      <family val="2"/>
      <charset val="1"/>
    </font>
    <font>
      <sz val="12"/>
      <color theme="1"/>
      <name val="Times New Roman"/>
      <family val="1"/>
      <charset val="1"/>
    </font>
    <font>
      <sz val="12"/>
      <name val="Arial"/>
      <family val="2"/>
      <charset val="1"/>
    </font>
    <font>
      <sz val="12"/>
      <color theme="1"/>
      <name val="Arial"/>
      <family val="2"/>
      <charset val="1"/>
    </font>
    <font>
      <i val="true"/>
      <sz val="12"/>
      <color theme="1"/>
      <name val="Arial"/>
      <family val="2"/>
      <charset val="1"/>
    </font>
    <font>
      <i val="true"/>
      <sz val="12"/>
      <name val="Arial"/>
      <family val="2"/>
      <charset val="1"/>
    </font>
    <font>
      <sz val="12"/>
      <color rgb="FF222222"/>
      <name val="Arial"/>
      <family val="2"/>
      <charset val="1"/>
    </font>
    <font>
      <sz val="12"/>
      <name val="Times New Roman"/>
      <family val="1"/>
      <charset val="1"/>
    </font>
  </fonts>
  <fills count="23">
    <fill>
      <patternFill patternType="none"/>
    </fill>
    <fill>
      <patternFill patternType="gray125"/>
    </fill>
    <fill>
      <patternFill patternType="solid">
        <fgColor rgb="FFA2BD90"/>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4EE257"/>
        <bgColor rgb="FF92D050"/>
      </patternFill>
    </fill>
    <fill>
      <patternFill patternType="solid">
        <fgColor rgb="FFFFF58C"/>
        <bgColor rgb="FFFFFF99"/>
      </patternFill>
    </fill>
    <fill>
      <patternFill patternType="solid">
        <fgColor rgb="FF99CCFF"/>
        <bgColor rgb="FFC0C0C0"/>
      </patternFill>
    </fill>
    <fill>
      <patternFill patternType="solid">
        <fgColor rgb="FFC0C0C0"/>
        <bgColor rgb="FFA2BD90"/>
      </patternFill>
    </fill>
    <fill>
      <patternFill patternType="solid">
        <fgColor rgb="FF1FB714"/>
        <bgColor rgb="FF4EE257"/>
      </patternFill>
    </fill>
    <fill>
      <patternFill patternType="solid">
        <fgColor rgb="FFFFCC00"/>
        <bgColor rgb="FFFFFF00"/>
      </patternFill>
    </fill>
    <fill>
      <patternFill patternType="solid">
        <fgColor rgb="FF865357"/>
        <bgColor rgb="FFC0504D"/>
      </patternFill>
    </fill>
    <fill>
      <patternFill patternType="solid">
        <fgColor rgb="FF969696"/>
        <bgColor rgb="FF808080"/>
      </patternFill>
    </fill>
    <fill>
      <patternFill patternType="solid">
        <fgColor rgb="FF6711FF"/>
        <bgColor rgb="FF800080"/>
      </patternFill>
    </fill>
    <fill>
      <patternFill patternType="solid">
        <fgColor rgb="FFFF9900"/>
        <bgColor rgb="FFFFCC00"/>
      </patternFill>
    </fill>
    <fill>
      <patternFill patternType="solid">
        <fgColor rgb="FF333399"/>
        <bgColor rgb="FF003366"/>
      </patternFill>
    </fill>
    <fill>
      <patternFill patternType="solid">
        <fgColor rgb="FFDD2D32"/>
        <bgColor rgb="FFDD0806"/>
      </patternFill>
    </fill>
    <fill>
      <patternFill patternType="solid">
        <fgColor rgb="FF33CCCC"/>
        <bgColor rgb="FF00B0F0"/>
      </patternFill>
    </fill>
    <fill>
      <patternFill patternType="solid">
        <fgColor rgb="FFFFCC99"/>
        <bgColor rgb="FFD9D9D9"/>
      </patternFill>
    </fill>
    <fill>
      <patternFill patternType="solid">
        <fgColor rgb="FFFFFF99"/>
        <bgColor rgb="FFFFF58C"/>
      </patternFill>
    </fill>
    <fill>
      <patternFill patternType="solid">
        <fgColor rgb="FFD9D9D9"/>
        <bgColor rgb="FFFDEADA"/>
      </patternFill>
    </fill>
    <fill>
      <patternFill patternType="solid">
        <fgColor theme="9" tint="0.7999"/>
        <bgColor rgb="FFFFFFFF"/>
      </patternFill>
    </fill>
  </fills>
  <borders count="13">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double">
        <color rgb="FF333333"/>
      </left>
      <right style="double">
        <color rgb="FF333333"/>
      </right>
      <top style="double">
        <color rgb="FF333333"/>
      </top>
      <bottom style="double">
        <color rgb="FF333333"/>
      </bottom>
      <diagonal/>
    </border>
    <border diagonalUp="false" diagonalDown="false">
      <left/>
      <right/>
      <top/>
      <bottom style="thick">
        <color rgb="FF333399"/>
      </bottom>
      <diagonal/>
    </border>
    <border diagonalUp="false" diagonalDown="false">
      <left/>
      <right/>
      <top/>
      <bottom style="thick">
        <color rgb="FFC0C0C0"/>
      </bottom>
      <diagonal/>
    </border>
    <border diagonalUp="false" diagonalDown="false">
      <left/>
      <right/>
      <top/>
      <bottom style="medium">
        <color rgb="FF865357"/>
      </bottom>
      <diagonal/>
    </border>
    <border diagonalUp="false" diagonalDown="false">
      <left/>
      <right/>
      <top/>
      <bottom style="double">
        <color rgb="FFFF9900"/>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style="thin">
        <color rgb="FF333399"/>
      </top>
      <bottom style="double">
        <color rgb="FF333399"/>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s>
  <cellStyleXfs count="6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4" fillId="3" borderId="0" applyFont="true" applyBorder="true" applyAlignment="true" applyProtection="true">
      <alignment horizontal="general" vertical="bottom" textRotation="0" wrapText="false" indent="0" shrinkToFit="false"/>
      <protection locked="true" hidden="false"/>
    </xf>
    <xf numFmtId="164" fontId="4" fillId="4"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6" borderId="0" applyFont="true" applyBorder="true" applyAlignment="true" applyProtection="true">
      <alignment horizontal="general" vertical="bottom" textRotation="0" wrapText="false" indent="0" shrinkToFit="false"/>
      <protection locked="true" hidden="false"/>
    </xf>
    <xf numFmtId="164" fontId="4" fillId="7" borderId="0" applyFont="true" applyBorder="true" applyAlignment="true" applyProtection="true">
      <alignment horizontal="general" vertical="bottom" textRotation="0" wrapText="false" indent="0" shrinkToFit="false"/>
      <protection locked="true" hidden="false"/>
    </xf>
    <xf numFmtId="164" fontId="4" fillId="8" borderId="0" applyFont="true" applyBorder="true" applyAlignment="true" applyProtection="true">
      <alignment horizontal="general" vertical="bottom" textRotation="0" wrapText="false" indent="0" shrinkToFit="false"/>
      <protection locked="true" hidden="false"/>
    </xf>
    <xf numFmtId="164" fontId="4" fillId="9" borderId="0" applyFont="true" applyBorder="true" applyAlignment="true" applyProtection="true">
      <alignment horizontal="general" vertical="bottom" textRotation="0" wrapText="false" indent="0" shrinkToFit="false"/>
      <protection locked="true" hidden="false"/>
    </xf>
    <xf numFmtId="164" fontId="4" fillId="10" borderId="0" applyFont="true" applyBorder="true" applyAlignment="true" applyProtection="true">
      <alignment horizontal="general" vertical="bottom" textRotation="0" wrapText="false" indent="0" shrinkToFit="false"/>
      <protection locked="true" hidden="false"/>
    </xf>
    <xf numFmtId="164" fontId="4" fillId="5" borderId="0" applyFont="true" applyBorder="true" applyAlignment="true" applyProtection="true">
      <alignment horizontal="general" vertical="bottom" textRotation="0" wrapText="false" indent="0" shrinkToFit="false"/>
      <protection locked="true" hidden="false"/>
    </xf>
    <xf numFmtId="164" fontId="4" fillId="2" borderId="0" applyFont="true" applyBorder="true" applyAlignment="true" applyProtection="true">
      <alignment horizontal="general" vertical="bottom" textRotation="0" wrapText="false" indent="0" shrinkToFit="false"/>
      <protection locked="true" hidden="false"/>
    </xf>
    <xf numFmtId="164" fontId="4" fillId="11" borderId="0" applyFont="true" applyBorder="true" applyAlignment="true" applyProtection="true">
      <alignment horizontal="general" vertical="bottom" textRotation="0" wrapText="false" indent="0" shrinkToFit="false"/>
      <protection locked="true" hidden="false"/>
    </xf>
    <xf numFmtId="164" fontId="5" fillId="12" borderId="0" applyFont="true" applyBorder="true" applyAlignment="true" applyProtection="true">
      <alignment horizontal="general" vertical="bottom" textRotation="0" wrapText="false" indent="0" shrinkToFit="false"/>
      <protection locked="true" hidden="false"/>
    </xf>
    <xf numFmtId="164" fontId="5" fillId="13" borderId="0" applyFont="true" applyBorder="true" applyAlignment="true" applyProtection="true">
      <alignment horizontal="general" vertical="bottom" textRotation="0" wrapText="false" indent="0" shrinkToFit="false"/>
      <protection locked="true" hidden="false"/>
    </xf>
    <xf numFmtId="164" fontId="5" fillId="10" borderId="0" applyFont="true" applyBorder="true" applyAlignment="true" applyProtection="true">
      <alignment horizontal="general" vertical="bottom" textRotation="0" wrapText="false" indent="0" shrinkToFit="false"/>
      <protection locked="true" hidden="false"/>
    </xf>
    <xf numFmtId="164" fontId="5" fillId="14" borderId="0" applyFont="true" applyBorder="true" applyAlignment="true" applyProtection="true">
      <alignment horizontal="general" vertical="bottom" textRotation="0" wrapText="false" indent="0" shrinkToFit="false"/>
      <protection locked="true" hidden="false"/>
    </xf>
    <xf numFmtId="164" fontId="5" fillId="8" borderId="0" applyFont="true" applyBorder="true" applyAlignment="true" applyProtection="true">
      <alignment horizontal="general" vertical="bottom" textRotation="0" wrapText="false" indent="0" shrinkToFit="false"/>
      <protection locked="true" hidden="false"/>
    </xf>
    <xf numFmtId="164" fontId="5" fillId="15" borderId="0" applyFont="true" applyBorder="true" applyAlignment="true" applyProtection="true">
      <alignment horizontal="general" vertical="bottom" textRotation="0" wrapText="false" indent="0" shrinkToFit="false"/>
      <protection locked="true" hidden="false"/>
    </xf>
    <xf numFmtId="164" fontId="5" fillId="16" borderId="0" applyFont="true" applyBorder="true" applyAlignment="true" applyProtection="true">
      <alignment horizontal="general" vertical="bottom" textRotation="0" wrapText="false" indent="0" shrinkToFit="false"/>
      <protection locked="true" hidden="false"/>
    </xf>
    <xf numFmtId="164" fontId="5" fillId="17" borderId="0" applyFont="true" applyBorder="true" applyAlignment="true" applyProtection="true">
      <alignment horizontal="general" vertical="bottom" textRotation="0" wrapText="false" indent="0" shrinkToFit="false"/>
      <protection locked="true" hidden="false"/>
    </xf>
    <xf numFmtId="164" fontId="5" fillId="13" borderId="0" applyFont="true" applyBorder="true" applyAlignment="true" applyProtection="true">
      <alignment horizontal="general" vertical="bottom" textRotation="0" wrapText="false" indent="0" shrinkToFit="false"/>
      <protection locked="true" hidden="false"/>
    </xf>
    <xf numFmtId="164" fontId="5" fillId="14" borderId="0" applyFont="true" applyBorder="true" applyAlignment="true" applyProtection="true">
      <alignment horizontal="general" vertical="bottom" textRotation="0" wrapText="false" indent="0" shrinkToFit="false"/>
      <protection locked="true" hidden="false"/>
    </xf>
    <xf numFmtId="164" fontId="5" fillId="18" borderId="0" applyFont="true" applyBorder="true" applyAlignment="true" applyProtection="true">
      <alignment horizontal="general" vertical="bottom" textRotation="0" wrapText="false" indent="0" shrinkToFit="false"/>
      <protection locked="true" hidden="false"/>
    </xf>
    <xf numFmtId="164" fontId="5" fillId="15" borderId="0" applyFont="true" applyBorder="true" applyAlignment="true" applyProtection="true">
      <alignment horizontal="general" vertical="bottom" textRotation="0" wrapText="false" indent="0" shrinkToFit="false"/>
      <protection locked="true" hidden="false"/>
    </xf>
    <xf numFmtId="164" fontId="6" fillId="3" borderId="0" applyFont="true" applyBorder="true" applyAlignment="true" applyProtection="true">
      <alignment horizontal="general" vertical="bottom" textRotation="0" wrapText="false" indent="0" shrinkToFit="false"/>
      <protection locked="true" hidden="false"/>
    </xf>
    <xf numFmtId="164" fontId="7" fillId="9" borderId="1" applyFont="true" applyBorder="true" applyAlignment="true" applyProtection="true">
      <alignment horizontal="general" vertical="bottom" textRotation="0" wrapText="false" indent="0" shrinkToFit="false"/>
      <protection locked="true" hidden="false"/>
    </xf>
    <xf numFmtId="164" fontId="8" fillId="13" borderId="2"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4" borderId="0" applyFont="true" applyBorder="true" applyAlignment="true" applyProtection="true">
      <alignment horizontal="general" vertical="bottom" textRotation="0" wrapText="false" indent="0" shrinkToFit="false"/>
      <protection locked="true" hidden="false"/>
    </xf>
    <xf numFmtId="164" fontId="11" fillId="4" borderId="0" applyFont="true" applyBorder="true" applyAlignment="true" applyProtection="true">
      <alignment horizontal="general" vertical="bottom" textRotation="0" wrapText="false" indent="0" shrinkToFit="false"/>
      <protection locked="true" hidden="false"/>
    </xf>
    <xf numFmtId="164" fontId="12" fillId="0" borderId="3" applyFont="true" applyBorder="true" applyAlignment="true" applyProtection="true">
      <alignment horizontal="general" vertical="bottom" textRotation="0" wrapText="false" indent="0" shrinkToFit="false"/>
      <protection locked="true" hidden="false"/>
    </xf>
    <xf numFmtId="164" fontId="13" fillId="0" borderId="4" applyFont="true" applyBorder="true" applyAlignment="true" applyProtection="true">
      <alignment horizontal="general" vertical="bottom" textRotation="0" wrapText="false" indent="0" shrinkToFit="false"/>
      <protection locked="true" hidden="false"/>
    </xf>
    <xf numFmtId="164" fontId="14" fillId="0" borderId="5"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4" fontId="15" fillId="19" borderId="1" applyFont="true" applyBorder="true" applyAlignment="true" applyProtection="true">
      <alignment horizontal="general" vertical="bottom" textRotation="0" wrapText="false" indent="0" shrinkToFit="false"/>
      <protection locked="true" hidden="false"/>
    </xf>
    <xf numFmtId="164" fontId="16" fillId="0" borderId="6" applyFont="true" applyBorder="true" applyAlignment="true" applyProtection="true">
      <alignment horizontal="general" vertical="bottom" textRotation="0" wrapText="false" indent="0" shrinkToFit="false"/>
      <protection locked="true" hidden="false"/>
    </xf>
    <xf numFmtId="164" fontId="17" fillId="20" borderId="0" applyFont="true" applyBorder="true" applyAlignment="true" applyProtection="true">
      <alignment horizontal="general" vertical="bottom" textRotation="0" wrapText="false" indent="0" shrinkToFit="false"/>
      <protection locked="true" hidden="false"/>
    </xf>
    <xf numFmtId="164" fontId="18" fillId="2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7" borderId="7" applyFont="true" applyBorder="true" applyAlignment="true" applyProtection="true">
      <alignment horizontal="general" vertical="bottom" textRotation="0" wrapText="false" indent="0" shrinkToFit="false"/>
      <protection locked="true" hidden="false"/>
    </xf>
    <xf numFmtId="164" fontId="19" fillId="9" borderId="8" applyFont="true" applyBorder="true" applyAlignment="true" applyProtection="true">
      <alignment horizontal="general" vertical="bottom" textRotation="0" wrapText="false" indent="0" shrinkToFit="false"/>
      <protection locked="true" hidden="false"/>
    </xf>
    <xf numFmtId="164" fontId="20" fillId="0" borderId="0" applyFont="true" applyBorder="true" applyAlignment="true" applyProtection="true">
      <alignment horizontal="general" vertical="bottom" textRotation="0" wrapText="false" indent="0" shrinkToFit="false"/>
      <protection locked="true" hidden="false"/>
    </xf>
    <xf numFmtId="164" fontId="21" fillId="0" borderId="9" applyFont="true" applyBorder="true" applyAlignment="true" applyProtection="true">
      <alignment horizontal="general" vertical="bottom" textRotation="0" wrapText="false" indent="0" shrinkToFit="false"/>
      <protection locked="true" hidden="false"/>
    </xf>
    <xf numFmtId="164" fontId="22" fillId="0" borderId="0" applyFont="true" applyBorder="true" applyAlignment="true" applyProtection="true">
      <alignment horizontal="general" vertical="bottom" textRotation="0" wrapText="false" indent="0" shrinkToFit="false"/>
      <protection locked="true" hidden="false"/>
    </xf>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5" fontId="25"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23"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10" xfId="0" applyFont="true" applyBorder="true" applyAlignment="true" applyProtection="false">
      <alignment horizontal="general" vertical="center" textRotation="0" wrapText="false" indent="0" shrinkToFit="false"/>
      <protection locked="true" hidden="false"/>
    </xf>
    <xf numFmtId="164" fontId="28" fillId="0" borderId="10" xfId="0" applyFont="true" applyBorder="true" applyAlignment="true" applyProtection="false">
      <alignment horizontal="general" vertical="center"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21" borderId="10" xfId="0" applyFont="true" applyBorder="true" applyAlignment="true" applyProtection="false">
      <alignment horizontal="general" vertical="center" textRotation="0" wrapText="false" indent="0" shrinkToFit="false"/>
      <protection locked="true" hidden="false"/>
    </xf>
    <xf numFmtId="164" fontId="31" fillId="21" borderId="10" xfId="0" applyFont="true" applyBorder="true" applyAlignment="true" applyProtection="false">
      <alignment horizontal="general" vertical="center" textRotation="0" wrapText="true" indent="0" shrinkToFit="false"/>
      <protection locked="true" hidden="false"/>
    </xf>
    <xf numFmtId="164" fontId="30" fillId="0" borderId="10" xfId="0" applyFont="true" applyBorder="true" applyAlignment="true" applyProtection="false">
      <alignment horizontal="general" vertical="center" textRotation="0" wrapText="false" indent="0" shrinkToFit="false"/>
      <protection locked="true" hidden="false"/>
    </xf>
    <xf numFmtId="164" fontId="31" fillId="0" borderId="10" xfId="0" applyFont="true" applyBorder="true" applyAlignment="true" applyProtection="false">
      <alignment horizontal="general" vertical="center" textRotation="0" wrapText="false" indent="0" shrinkToFit="false"/>
      <protection locked="true" hidden="false"/>
    </xf>
    <xf numFmtId="164" fontId="31" fillId="0" borderId="10" xfId="0" applyFont="true" applyBorder="true" applyAlignment="true" applyProtection="false">
      <alignment horizontal="general" vertical="center" textRotation="0" wrapText="true" indent="0" shrinkToFit="false"/>
      <protection locked="true" hidden="false"/>
    </xf>
    <xf numFmtId="164" fontId="31" fillId="21" borderId="10" xfId="0" applyFont="true" applyBorder="true" applyAlignment="true" applyProtection="false">
      <alignment horizontal="general" vertical="center" textRotation="0" wrapText="false" indent="0" shrinkToFit="false"/>
      <protection locked="true" hidden="false"/>
    </xf>
    <xf numFmtId="164" fontId="32" fillId="0" borderId="10" xfId="0" applyFont="true" applyBorder="true" applyAlignment="true" applyProtection="false">
      <alignment horizontal="general" vertical="center" textRotation="0" wrapText="false" indent="0" shrinkToFit="false"/>
      <protection locked="true" hidden="false"/>
    </xf>
    <xf numFmtId="164" fontId="30" fillId="0" borderId="10" xfId="0" applyFont="true" applyBorder="true" applyAlignment="true" applyProtection="false">
      <alignment horizontal="general" vertical="center" textRotation="0" wrapText="true" indent="0" shrinkToFit="false"/>
      <protection locked="true" hidden="false"/>
    </xf>
    <xf numFmtId="164" fontId="32" fillId="21" borderId="10" xfId="0" applyFont="true" applyBorder="true" applyAlignment="true" applyProtection="false">
      <alignment horizontal="general" vertical="center" textRotation="0" wrapText="false" indent="0" shrinkToFit="false"/>
      <protection locked="true" hidden="false"/>
    </xf>
    <xf numFmtId="164" fontId="31" fillId="21" borderId="11" xfId="0" applyFont="true" applyBorder="true" applyAlignment="true" applyProtection="false">
      <alignment horizontal="general" vertical="center" textRotation="0" wrapText="true" indent="0" shrinkToFit="false"/>
      <protection locked="true" hidden="false"/>
    </xf>
    <xf numFmtId="164" fontId="31" fillId="21" borderId="12" xfId="0" applyFont="true" applyBorder="true" applyAlignment="true" applyProtection="false">
      <alignment horizontal="general" vertical="center" textRotation="0" wrapText="true" indent="0" shrinkToFit="false"/>
      <protection locked="true" hidden="false"/>
    </xf>
    <xf numFmtId="164" fontId="31" fillId="0" borderId="0" xfId="0" applyFont="true" applyBorder="false" applyAlignment="true" applyProtection="false">
      <alignment horizontal="general" vertical="center"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7" fontId="25" fillId="0" borderId="0" xfId="0" applyFont="true" applyBorder="false" applyAlignment="true" applyProtection="false">
      <alignment horizontal="general" vertical="bottom" textRotation="0" wrapText="false" indent="0" shrinkToFit="false"/>
      <protection locked="true" hidden="false"/>
    </xf>
    <xf numFmtId="164" fontId="0" fillId="22" borderId="0" xfId="0" applyFont="fals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7" fontId="35"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true" applyAlignment="true" applyProtection="false">
      <alignment horizontal="lef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4" fontId="34" fillId="0" borderId="0" xfId="0" applyFont="true" applyBorder="false" applyAlignment="true" applyProtection="false">
      <alignment horizontal="left"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true" applyAlignment="true" applyProtection="false">
      <alignment horizontal="center" vertical="bottom" textRotation="0" wrapText="false" indent="0" shrinkToFit="false"/>
      <protection locked="true" hidden="false"/>
    </xf>
    <xf numFmtId="168" fontId="35"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tru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64" fontId="41" fillId="0" borderId="0" xfId="0" applyFont="true" applyBorder="false" applyAlignment="true" applyProtection="false">
      <alignment horizontal="left" vertical="center" textRotation="0" wrapText="false" indent="1"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cellXfs>
  <cellStyles count="51">
    <cellStyle name="Normal" xfId="0" builtinId="0"/>
    <cellStyle name="Comma" xfId="15" builtinId="3"/>
    <cellStyle name="Comma [0]" xfId="16" builtinId="6"/>
    <cellStyle name="Currency" xfId="17" builtinId="4"/>
    <cellStyle name="Currency [0]" xfId="18" builtinId="7"/>
    <cellStyle name="Percent" xfId="19" builtinId="5"/>
    <cellStyle name="20% - Accent1 2" xfId="20"/>
    <cellStyle name="20% - Accent2 2" xfId="21"/>
    <cellStyle name="20% - Accent3 2" xfId="22"/>
    <cellStyle name="20% - Accent4 2" xfId="23"/>
    <cellStyle name="20% - Accent5 2" xfId="24"/>
    <cellStyle name="20% - Accent6 2" xfId="25"/>
    <cellStyle name="40% - Accent1 2" xfId="26"/>
    <cellStyle name="40% - Accent2 2" xfId="27"/>
    <cellStyle name="40% - Accent3 2" xfId="28"/>
    <cellStyle name="40% - Accent4 2" xfId="29"/>
    <cellStyle name="40% - Accent5 2" xfId="30"/>
    <cellStyle name="40% - Accent6 2" xfId="31"/>
    <cellStyle name="60% - Accent1 2" xfId="32"/>
    <cellStyle name="60% - Accent2 2" xfId="33"/>
    <cellStyle name="60% - Accent3 2" xfId="34"/>
    <cellStyle name="60% - Accent4 2" xfId="35"/>
    <cellStyle name="60% - Accent5 2" xfId="36"/>
    <cellStyle name="60% - Accent6 2" xfId="37"/>
    <cellStyle name="Accent1 2" xfId="38"/>
    <cellStyle name="Accent2 2" xfId="39"/>
    <cellStyle name="Accent3 2" xfId="40"/>
    <cellStyle name="Accent4 2" xfId="41"/>
    <cellStyle name="Accent5 2" xfId="42"/>
    <cellStyle name="Accent6 2" xfId="43"/>
    <cellStyle name="Bad 2" xfId="44"/>
    <cellStyle name="Calculation 2" xfId="45"/>
    <cellStyle name="Check Cell 2" xfId="46"/>
    <cellStyle name="Explanatory Text 2" xfId="47"/>
    <cellStyle name="Good 2" xfId="48"/>
    <cellStyle name="Good 3" xfId="49"/>
    <cellStyle name="Heading 1 2" xfId="50"/>
    <cellStyle name="Heading 2 2" xfId="51"/>
    <cellStyle name="Heading 3 2" xfId="52"/>
    <cellStyle name="Heading 4 2" xfId="53"/>
    <cellStyle name="Input 2" xfId="54"/>
    <cellStyle name="Linked Cell 2" xfId="55"/>
    <cellStyle name="Neutral 2" xfId="56"/>
    <cellStyle name="Neutral 3" xfId="57"/>
    <cellStyle name="Normal 2" xfId="58"/>
    <cellStyle name="Normal 3" xfId="59"/>
    <cellStyle name="Note 2" xfId="60"/>
    <cellStyle name="Output 2" xfId="61"/>
    <cellStyle name="Sheet Title" xfId="62"/>
    <cellStyle name="Total 2" xfId="63"/>
    <cellStyle name="Warning Text 2" xfId="64"/>
  </cellStyles>
  <colors>
    <indexedColors>
      <rgbColor rgb="FF000000"/>
      <rgbColor rgb="FFFFFFFF"/>
      <rgbColor rgb="FFDD0806"/>
      <rgbColor rgb="FF4EE257"/>
      <rgbColor rgb="FF0000D4"/>
      <rgbColor rgb="FFFFF58C"/>
      <rgbColor rgb="FFFF00FF"/>
      <rgbColor rgb="FF00FFFF"/>
      <rgbColor rgb="FF900000"/>
      <rgbColor rgb="FF006411"/>
      <rgbColor rgb="FF000080"/>
      <rgbColor rgb="FF808000"/>
      <rgbColor rgb="FF6711FF"/>
      <rgbColor rgb="FF008080"/>
      <rgbColor rgb="FFC0C0C0"/>
      <rgbColor rgb="FF808080"/>
      <rgbColor rgb="FFA2BD90"/>
      <rgbColor rgb="FF865357"/>
      <rgbColor rgb="FFFDEADA"/>
      <rgbColor rgb="FFCCFFFF"/>
      <rgbColor rgb="FF660066"/>
      <rgbColor rgb="FFFF8080"/>
      <rgbColor rgb="FF0066CC"/>
      <rgbColor rgb="FFD9D9D9"/>
      <rgbColor rgb="FF000080"/>
      <rgbColor rgb="FFFF00FF"/>
      <rgbColor rgb="FFFFFF00"/>
      <rgbColor rgb="FF00FFFF"/>
      <rgbColor rgb="FF800080"/>
      <rgbColor rgb="FFDD2D32"/>
      <rgbColor rgb="FF008080"/>
      <rgbColor rgb="FF0000FF"/>
      <rgbColor rgb="FF00B0F0"/>
      <rgbColor rgb="FFCCFFFF"/>
      <rgbColor rgb="FFCCFFCC"/>
      <rgbColor rgb="FFFFFF99"/>
      <rgbColor rgb="FF99CCFF"/>
      <rgbColor rgb="FFFF99CC"/>
      <rgbColor rgb="FFCC99FF"/>
      <rgbColor rgb="FFFFCC99"/>
      <rgbColor rgb="FF538DD5"/>
      <rgbColor rgb="FF33CCCC"/>
      <rgbColor rgb="FF92D050"/>
      <rgbColor rgb="FFFFCC00"/>
      <rgbColor rgb="FFFF9900"/>
      <rgbColor rgb="FFFF6600"/>
      <rgbColor rgb="FF558ED5"/>
      <rgbColor rgb="FF969696"/>
      <rgbColor rgb="FF003366"/>
      <rgbColor rgb="FF1FB714"/>
      <rgbColor rgb="FF003300"/>
      <rgbColor rgb="FF222222"/>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3</xdr:col>
      <xdr:colOff>646200</xdr:colOff>
      <xdr:row>41</xdr:row>
      <xdr:rowOff>160560</xdr:rowOff>
    </xdr:to>
    <xdr:pic>
      <xdr:nvPicPr>
        <xdr:cNvPr id="0" name="Picture 1" descr="Bioregion image.png"/>
        <xdr:cNvPicPr/>
      </xdr:nvPicPr>
      <xdr:blipFill>
        <a:blip r:embed="rId1"/>
        <a:stretch/>
      </xdr:blipFill>
      <xdr:spPr>
        <a:xfrm>
          <a:off x="0" y="2276640"/>
          <a:ext cx="9303840" cy="4856400"/>
        </a:xfrm>
        <a:prstGeom prst="rect">
          <a:avLst/>
        </a:prstGeom>
        <a:ln w="9525">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72"/>
  <sheetViews>
    <sheetView showFormulas="false" showGridLines="true" showRowColHeaders="true" showZeros="true" rightToLeft="false" tabSelected="false" showOutlineSymbols="true" defaultGridColor="true" view="normal" topLeftCell="A1" colorId="64" zoomScale="107" zoomScaleNormal="107" zoomScalePageLayoutView="100" workbookViewId="0">
      <selection pane="topLeft" activeCell="F1" activeCellId="0" sqref="F1"/>
    </sheetView>
  </sheetViews>
  <sheetFormatPr defaultColWidth="9.1640625" defaultRowHeight="12.75" zeroHeight="false" outlineLevelRow="0" outlineLevelCol="0"/>
  <cols>
    <col collapsed="false" customWidth="true" hidden="false" outlineLevel="0" max="1" min="1" style="1" width="22.5"/>
    <col collapsed="false" customWidth="true" hidden="false" outlineLevel="0" max="2" min="2" style="1" width="18.16"/>
    <col collapsed="false" customWidth="true" hidden="false" outlineLevel="0" max="3" min="3" style="1" width="15.66"/>
    <col collapsed="false" customWidth="true" hidden="false" outlineLevel="0" max="4" min="4" style="1" width="16.33"/>
    <col collapsed="false" customWidth="true" hidden="false" outlineLevel="0" max="5" min="5" style="1" width="18.16"/>
    <col collapsed="false" customWidth="true" hidden="false" outlineLevel="0" max="6" min="6" style="1" width="24.33"/>
    <col collapsed="false" customWidth="true" hidden="false" outlineLevel="0" max="7" min="7" style="2" width="18.34"/>
    <col collapsed="false" customWidth="true" hidden="false" outlineLevel="0" max="8" min="8" style="2" width="18.5"/>
    <col collapsed="false" customWidth="true" hidden="false" outlineLevel="0" max="9" min="9" style="1" width="20"/>
    <col collapsed="false" customWidth="true" hidden="false" outlineLevel="0" max="10" min="10" style="1" width="30.16"/>
    <col collapsed="false" customWidth="true" hidden="false" outlineLevel="0" max="11" min="11" style="1" width="22.67"/>
    <col collapsed="false" customWidth="true" hidden="false" outlineLevel="0" max="12" min="12" style="1" width="17.16"/>
    <col collapsed="false" customWidth="true" hidden="false" outlineLevel="0" max="13" min="13" style="1" width="61.16"/>
    <col collapsed="false" customWidth="true" hidden="false" outlineLevel="0" max="14" min="14" style="1" width="10.33"/>
    <col collapsed="false" customWidth="true" hidden="false" outlineLevel="0" max="15" min="15" style="1" width="12"/>
    <col collapsed="false" customWidth="true" hidden="false" outlineLevel="0" max="16" min="16" style="1" width="11.33"/>
    <col collapsed="false" customWidth="true" hidden="false" outlineLevel="0" max="17" min="17" style="1" width="8.67"/>
    <col collapsed="false" customWidth="true" hidden="false" outlineLevel="0" max="18" min="18" style="1" width="7.33"/>
    <col collapsed="false" customWidth="true" hidden="false" outlineLevel="0" max="19" min="19" style="1" width="7"/>
    <col collapsed="false" customWidth="true" hidden="false" outlineLevel="0" max="20" min="20" style="1" width="7.33"/>
    <col collapsed="false" customWidth="true" hidden="false" outlineLevel="0" max="21" min="21" style="1" width="3.5"/>
    <col collapsed="false" customWidth="true" hidden="false" outlineLevel="0" max="22" min="22" style="1" width="8"/>
    <col collapsed="false" customWidth="true" hidden="false" outlineLevel="0" max="23" min="23" style="1" width="7.5"/>
    <col collapsed="false" customWidth="true" hidden="false" outlineLevel="0" max="24" min="24" style="1" width="7.67"/>
    <col collapsed="false" customWidth="true" hidden="false" outlineLevel="0" max="25" min="25" style="1" width="4.16"/>
    <col collapsed="false" customWidth="true" hidden="false" outlineLevel="0" max="26" min="26" style="3" width="12"/>
    <col collapsed="false" customWidth="true" hidden="false" outlineLevel="0" max="27" min="27" style="3" width="15.16"/>
    <col collapsed="false" customWidth="true" hidden="false" outlineLevel="0" max="28" min="28" style="1" width="14.16"/>
    <col collapsed="false" customWidth="true" hidden="false" outlineLevel="0" max="29" min="29" style="1" width="18.67"/>
    <col collapsed="false" customWidth="true" hidden="false" outlineLevel="0" max="30" min="30" style="1" width="43.16"/>
    <col collapsed="false" customWidth="true" hidden="false" outlineLevel="0" max="31" min="31" style="1" width="19.16"/>
  </cols>
  <sheetData>
    <row r="1" s="5" customFormat="true" ht="12.75" hidden="false" customHeight="true" outlineLevel="0" collapsed="false">
      <c r="A1" s="4" t="s">
        <v>0</v>
      </c>
      <c r="B1" s="5" t="s">
        <v>1</v>
      </c>
      <c r="C1" s="5" t="s">
        <v>2</v>
      </c>
      <c r="D1" s="4" t="s">
        <v>3</v>
      </c>
      <c r="E1" s="4" t="s">
        <v>4</v>
      </c>
      <c r="F1" s="4" t="s">
        <v>5</v>
      </c>
      <c r="G1" s="6" t="s">
        <v>6</v>
      </c>
      <c r="H1" s="7" t="s">
        <v>7</v>
      </c>
      <c r="I1" s="8" t="s">
        <v>8</v>
      </c>
      <c r="J1" s="8" t="s">
        <v>9</v>
      </c>
      <c r="K1" s="8" t="s">
        <v>10</v>
      </c>
      <c r="L1" s="8" t="s">
        <v>11</v>
      </c>
      <c r="M1" s="4" t="s">
        <v>12</v>
      </c>
      <c r="N1" s="8" t="s">
        <v>13</v>
      </c>
      <c r="O1" s="8" t="s">
        <v>14</v>
      </c>
      <c r="P1" s="4" t="s">
        <v>15</v>
      </c>
      <c r="Q1" s="4" t="s">
        <v>16</v>
      </c>
      <c r="R1" s="9" t="s">
        <v>17</v>
      </c>
      <c r="S1" s="9" t="s">
        <v>18</v>
      </c>
      <c r="T1" s="9" t="s">
        <v>19</v>
      </c>
      <c r="U1" s="9" t="s">
        <v>20</v>
      </c>
      <c r="V1" s="9" t="s">
        <v>21</v>
      </c>
      <c r="W1" s="9" t="s">
        <v>22</v>
      </c>
      <c r="X1" s="9" t="s">
        <v>23</v>
      </c>
      <c r="Y1" s="9" t="s">
        <v>24</v>
      </c>
      <c r="Z1" s="10" t="s">
        <v>25</v>
      </c>
      <c r="AA1" s="10" t="s">
        <v>26</v>
      </c>
      <c r="AB1" s="8" t="s">
        <v>27</v>
      </c>
      <c r="AC1" s="8" t="s">
        <v>28</v>
      </c>
      <c r="AD1" s="8" t="s">
        <v>29</v>
      </c>
      <c r="AE1" s="8" t="s">
        <v>30</v>
      </c>
    </row>
    <row r="2" s="5" customFormat="true" ht="12.75" hidden="false" customHeight="true" outlineLevel="0" collapsed="false"/>
    <row r="3" customFormat="false" ht="12.75" hidden="false" customHeight="true" outlineLevel="0" collapsed="false">
      <c r="A3" s="11" t="s">
        <v>31</v>
      </c>
      <c r="B3" s="11" t="s">
        <v>32</v>
      </c>
      <c r="C3" s="11" t="s">
        <v>33</v>
      </c>
      <c r="D3" s="11" t="s">
        <v>34</v>
      </c>
      <c r="E3" s="11" t="s">
        <v>35</v>
      </c>
      <c r="F3" s="11" t="s">
        <v>36</v>
      </c>
      <c r="G3" s="11" t="s">
        <v>37</v>
      </c>
      <c r="H3" s="1"/>
      <c r="I3" s="11" t="s">
        <v>38</v>
      </c>
      <c r="J3" s="11" t="s">
        <v>39</v>
      </c>
      <c r="K3" s="11" t="s">
        <v>40</v>
      </c>
      <c r="M3" s="11" t="s">
        <v>41</v>
      </c>
      <c r="N3" s="11" t="s">
        <v>42</v>
      </c>
      <c r="O3" s="11" t="s">
        <v>43</v>
      </c>
      <c r="P3" s="11" t="s">
        <v>44</v>
      </c>
      <c r="Q3" s="11" t="s">
        <v>45</v>
      </c>
      <c r="R3" s="1" t="n">
        <v>36</v>
      </c>
      <c r="S3" s="1" t="n">
        <v>12.971</v>
      </c>
      <c r="T3" s="1" t="n">
        <v>0</v>
      </c>
      <c r="U3" s="11" t="s">
        <v>46</v>
      </c>
      <c r="V3" s="1" t="n">
        <v>116</v>
      </c>
      <c r="W3" s="1" t="n">
        <v>56.195</v>
      </c>
      <c r="X3" s="1" t="n">
        <v>0</v>
      </c>
      <c r="Y3" s="11" t="s">
        <v>47</v>
      </c>
      <c r="Z3" s="1" t="n">
        <f aca="false">IF(U3="S",-1,1)*(R3+S3/60+T3/3600)</f>
        <v>36.2161833333333</v>
      </c>
      <c r="AA3" s="1" t="n">
        <f aca="false">IF(Y3="W",-1,1)*(V3+W3/60+X3/3600)</f>
        <v>-116.936583333333</v>
      </c>
      <c r="AB3" s="11" t="s">
        <v>48</v>
      </c>
      <c r="AC3" s="11" t="s">
        <v>49</v>
      </c>
      <c r="AD3" s="11" t="s">
        <v>50</v>
      </c>
    </row>
    <row r="4" customFormat="false" ht="12.75" hidden="false" customHeight="true" outlineLevel="0" collapsed="false">
      <c r="A4" s="11" t="s">
        <v>51</v>
      </c>
      <c r="B4" s="11" t="s">
        <v>52</v>
      </c>
      <c r="C4" s="11" t="s">
        <v>53</v>
      </c>
      <c r="D4" s="11" t="s">
        <v>54</v>
      </c>
      <c r="E4" s="11" t="s">
        <v>35</v>
      </c>
      <c r="F4" s="11" t="s">
        <v>55</v>
      </c>
      <c r="G4" s="11" t="s">
        <v>56</v>
      </c>
      <c r="H4" s="11" t="s">
        <v>57</v>
      </c>
      <c r="I4" s="11" t="s">
        <v>58</v>
      </c>
      <c r="J4" s="11" t="s">
        <v>59</v>
      </c>
      <c r="K4" s="11" t="s">
        <v>60</v>
      </c>
      <c r="M4" s="11" t="s">
        <v>61</v>
      </c>
      <c r="N4" s="11" t="s">
        <v>62</v>
      </c>
      <c r="O4" s="11" t="s">
        <v>63</v>
      </c>
      <c r="P4" s="11" t="s">
        <v>64</v>
      </c>
      <c r="Q4" s="11" t="s">
        <v>65</v>
      </c>
      <c r="Z4" s="1" t="n">
        <v>0.56094</v>
      </c>
      <c r="AA4" s="1" t="n">
        <v>30.36099</v>
      </c>
      <c r="AB4" s="11" t="s">
        <v>66</v>
      </c>
      <c r="AC4" s="11" t="s">
        <v>67</v>
      </c>
    </row>
    <row r="5" customFormat="false" ht="12.75" hidden="false" customHeight="true" outlineLevel="0" collapsed="false">
      <c r="A5" s="11" t="s">
        <v>68</v>
      </c>
      <c r="B5" s="11" t="s">
        <v>69</v>
      </c>
      <c r="C5" s="11" t="s">
        <v>70</v>
      </c>
      <c r="D5" s="11" t="s">
        <v>71</v>
      </c>
      <c r="E5" s="11" t="s">
        <v>35</v>
      </c>
      <c r="F5" s="11" t="s">
        <v>36</v>
      </c>
      <c r="G5" s="11" t="s">
        <v>72</v>
      </c>
      <c r="H5" s="1"/>
      <c r="I5" s="11" t="s">
        <v>38</v>
      </c>
      <c r="J5" s="11" t="s">
        <v>73</v>
      </c>
      <c r="K5" s="11" t="s">
        <v>40</v>
      </c>
      <c r="M5" s="11" t="s">
        <v>74</v>
      </c>
      <c r="N5" s="11" t="s">
        <v>75</v>
      </c>
      <c r="O5" s="11" t="s">
        <v>43</v>
      </c>
      <c r="P5" s="11" t="s">
        <v>44</v>
      </c>
      <c r="Q5" s="11" t="s">
        <v>76</v>
      </c>
      <c r="Z5" s="1" t="n">
        <v>38.29645</v>
      </c>
      <c r="AA5" s="1" t="n">
        <v>-119.63873</v>
      </c>
      <c r="AB5" s="11" t="s">
        <v>77</v>
      </c>
      <c r="AC5" s="11" t="s">
        <v>49</v>
      </c>
      <c r="AD5" s="11" t="s">
        <v>78</v>
      </c>
    </row>
    <row r="6" customFormat="false" ht="12.75" hidden="false" customHeight="true" outlineLevel="0" collapsed="false"/>
    <row r="7" customFormat="false" ht="12.75" hidden="false" customHeight="true" outlineLevel="0" collapsed="false"/>
    <row r="8" customFormat="false" ht="12.75" hidden="false" customHeight="true" outlineLevel="0" collapsed="false"/>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89" zoomScaleNormal="89" zoomScalePageLayoutView="100" workbookViewId="0">
      <selection pane="topLeft" activeCell="A2" activeCellId="0" sqref="A2"/>
    </sheetView>
  </sheetViews>
  <sheetFormatPr defaultColWidth="10.66796875" defaultRowHeight="12.75" zeroHeight="false" outlineLevelRow="0" outlineLevelCol="0"/>
  <cols>
    <col collapsed="false" customWidth="true" hidden="false" outlineLevel="0" max="1" min="1" style="1" width="31.5"/>
    <col collapsed="false" customWidth="true" hidden="false" outlineLevel="0" max="2" min="2" style="1" width="22"/>
    <col collapsed="false" customWidth="true" hidden="false" outlineLevel="0" max="3" min="3" style="1" width="80.67"/>
    <col collapsed="false" customWidth="true" hidden="false" outlineLevel="0" max="4" min="4" style="1" width="77.66"/>
  </cols>
  <sheetData>
    <row r="1" customFormat="false" ht="16.5" hidden="false" customHeight="true" outlineLevel="0" collapsed="false">
      <c r="A1" s="12" t="s">
        <v>79</v>
      </c>
      <c r="B1" s="13" t="s">
        <v>80</v>
      </c>
      <c r="C1" s="13" t="s">
        <v>81</v>
      </c>
      <c r="D1" s="14" t="s">
        <v>82</v>
      </c>
    </row>
    <row r="2" customFormat="false" ht="153" hidden="false" customHeight="true" outlineLevel="0" collapsed="false">
      <c r="A2" s="15" t="s">
        <v>83</v>
      </c>
      <c r="B2" s="16" t="s">
        <v>0</v>
      </c>
      <c r="C2" s="17" t="s">
        <v>84</v>
      </c>
      <c r="D2" s="17" t="s">
        <v>85</v>
      </c>
    </row>
    <row r="3" customFormat="false" ht="16.5" hidden="false" customHeight="true" outlineLevel="0" collapsed="false">
      <c r="A3" s="1" t="s">
        <v>86</v>
      </c>
      <c r="B3" s="18" t="s">
        <v>5</v>
      </c>
      <c r="C3" s="19" t="s">
        <v>87</v>
      </c>
      <c r="D3" s="20" t="s">
        <v>88</v>
      </c>
    </row>
    <row r="4" customFormat="false" ht="67.5" hidden="false" customHeight="true" outlineLevel="0" collapsed="false">
      <c r="A4" s="1" t="s">
        <v>89</v>
      </c>
      <c r="B4" s="16" t="s">
        <v>6</v>
      </c>
      <c r="C4" s="17" t="s">
        <v>90</v>
      </c>
      <c r="D4" s="17" t="s">
        <v>88</v>
      </c>
    </row>
    <row r="5" customFormat="false" ht="16.5" hidden="false" customHeight="true" outlineLevel="0" collapsed="false">
      <c r="A5" s="1" t="s">
        <v>91</v>
      </c>
      <c r="B5" s="18" t="s">
        <v>7</v>
      </c>
      <c r="C5" s="20" t="s">
        <v>92</v>
      </c>
      <c r="D5" s="20" t="s">
        <v>93</v>
      </c>
    </row>
    <row r="6" customFormat="false" ht="33.75" hidden="false" customHeight="true" outlineLevel="0" collapsed="false">
      <c r="A6" s="1" t="s">
        <v>94</v>
      </c>
      <c r="B6" s="16" t="s">
        <v>8</v>
      </c>
      <c r="C6" s="17" t="s">
        <v>95</v>
      </c>
      <c r="D6" s="17" t="s">
        <v>96</v>
      </c>
    </row>
    <row r="7" customFormat="false" ht="51" hidden="false" customHeight="true" outlineLevel="0" collapsed="false">
      <c r="A7" s="1" t="s">
        <v>97</v>
      </c>
      <c r="B7" s="18" t="s">
        <v>9</v>
      </c>
      <c r="C7" s="20" t="s">
        <v>98</v>
      </c>
      <c r="D7" s="20" t="s">
        <v>96</v>
      </c>
    </row>
    <row r="8" customFormat="false" ht="84.75" hidden="false" customHeight="true" outlineLevel="0" collapsed="false">
      <c r="A8" s="1" t="s">
        <v>99</v>
      </c>
      <c r="B8" s="16" t="s">
        <v>10</v>
      </c>
      <c r="C8" s="17" t="s">
        <v>100</v>
      </c>
      <c r="D8" s="17" t="s">
        <v>96</v>
      </c>
    </row>
    <row r="9" customFormat="false" ht="33.75" hidden="false" customHeight="true" outlineLevel="0" collapsed="false">
      <c r="A9" s="1" t="s">
        <v>101</v>
      </c>
      <c r="B9" s="18" t="s">
        <v>11</v>
      </c>
      <c r="C9" s="20" t="s">
        <v>102</v>
      </c>
      <c r="D9" s="20" t="s">
        <v>103</v>
      </c>
    </row>
    <row r="10" customFormat="false" ht="33.75" hidden="false" customHeight="true" outlineLevel="0" collapsed="false">
      <c r="A10" s="1" t="s">
        <v>104</v>
      </c>
      <c r="B10" s="16" t="s">
        <v>12</v>
      </c>
      <c r="C10" s="17" t="s">
        <v>105</v>
      </c>
      <c r="D10" s="17" t="s">
        <v>88</v>
      </c>
    </row>
    <row r="11" customFormat="false" ht="33.75" hidden="false" customHeight="true" outlineLevel="0" collapsed="false">
      <c r="A11" s="1" t="s">
        <v>106</v>
      </c>
      <c r="B11" s="18" t="s">
        <v>14</v>
      </c>
      <c r="C11" s="20" t="s">
        <v>107</v>
      </c>
      <c r="D11" s="20" t="s">
        <v>103</v>
      </c>
    </row>
    <row r="12" customFormat="false" ht="16.5" hidden="false" customHeight="true" outlineLevel="0" collapsed="false">
      <c r="A12" s="1" t="s">
        <v>108</v>
      </c>
      <c r="B12" s="16" t="s">
        <v>13</v>
      </c>
      <c r="C12" s="21" t="s">
        <v>109</v>
      </c>
      <c r="D12" s="17" t="s">
        <v>103</v>
      </c>
    </row>
    <row r="13" customFormat="false" ht="16.5" hidden="false" customHeight="true" outlineLevel="0" collapsed="false">
      <c r="A13" s="1" t="s">
        <v>110</v>
      </c>
      <c r="B13" s="18" t="s">
        <v>15</v>
      </c>
      <c r="C13" s="20" t="s">
        <v>111</v>
      </c>
      <c r="D13" s="20" t="s">
        <v>112</v>
      </c>
    </row>
    <row r="14" customFormat="false" ht="102" hidden="false" customHeight="true" outlineLevel="0" collapsed="false">
      <c r="A14" s="1" t="s">
        <v>113</v>
      </c>
      <c r="B14" s="16" t="s">
        <v>16</v>
      </c>
      <c r="C14" s="17" t="s">
        <v>114</v>
      </c>
      <c r="D14" s="17" t="s">
        <v>88</v>
      </c>
    </row>
    <row r="15" customFormat="false" ht="33.75" hidden="false" customHeight="true" outlineLevel="0" collapsed="false">
      <c r="A15" s="1" t="s">
        <v>115</v>
      </c>
      <c r="B15" s="18" t="s">
        <v>30</v>
      </c>
      <c r="C15" s="20" t="s">
        <v>116</v>
      </c>
      <c r="D15" s="20" t="s">
        <v>117</v>
      </c>
    </row>
    <row r="16" customFormat="false" ht="16.5" hidden="false" customHeight="true" outlineLevel="0" collapsed="false">
      <c r="A16" s="1" t="s">
        <v>118</v>
      </c>
      <c r="B16" s="16" t="s">
        <v>25</v>
      </c>
      <c r="C16" s="17" t="s">
        <v>119</v>
      </c>
      <c r="D16" s="17" t="s">
        <v>120</v>
      </c>
    </row>
    <row r="17" customFormat="false" ht="16.5" hidden="false" customHeight="true" outlineLevel="0" collapsed="false">
      <c r="A17" s="1" t="s">
        <v>121</v>
      </c>
      <c r="B17" s="18" t="s">
        <v>26</v>
      </c>
      <c r="C17" s="20" t="s">
        <v>119</v>
      </c>
      <c r="D17" s="20" t="s">
        <v>120</v>
      </c>
    </row>
    <row r="18" customFormat="false" ht="67.5" hidden="false" customHeight="true" outlineLevel="0" collapsed="false">
      <c r="A18" s="1" t="s">
        <v>122</v>
      </c>
      <c r="B18" s="16" t="s">
        <v>27</v>
      </c>
      <c r="C18" s="17" t="s">
        <v>123</v>
      </c>
      <c r="D18" s="17" t="s">
        <v>124</v>
      </c>
    </row>
    <row r="19" customFormat="false" ht="153" hidden="false" customHeight="true" outlineLevel="0" collapsed="false">
      <c r="A19" s="1" t="s">
        <v>115</v>
      </c>
      <c r="B19" s="18" t="s">
        <v>28</v>
      </c>
      <c r="C19" s="20" t="s">
        <v>125</v>
      </c>
      <c r="D19" s="20" t="s">
        <v>126</v>
      </c>
    </row>
    <row r="20" customFormat="false" ht="33.75" hidden="false" customHeight="true" outlineLevel="0" collapsed="false">
      <c r="A20" s="1" t="s">
        <v>127</v>
      </c>
      <c r="B20" s="16" t="s">
        <v>29</v>
      </c>
      <c r="C20" s="17" t="s">
        <v>128</v>
      </c>
      <c r="D20" s="17" t="s">
        <v>103</v>
      </c>
    </row>
    <row r="21" customFormat="false" ht="67.5" hidden="false" customHeight="true" outlineLevel="0" collapsed="false">
      <c r="A21" s="1" t="s">
        <v>129</v>
      </c>
      <c r="B21" s="22" t="s">
        <v>130</v>
      </c>
      <c r="C21" s="20" t="s">
        <v>131</v>
      </c>
      <c r="D21" s="23" t="s">
        <v>132</v>
      </c>
    </row>
    <row r="22" customFormat="false" ht="33.75" hidden="false" customHeight="true" outlineLevel="0" collapsed="false">
      <c r="A22" s="1" t="s">
        <v>133</v>
      </c>
      <c r="B22" s="24" t="s">
        <v>1</v>
      </c>
      <c r="C22" s="17" t="s">
        <v>134</v>
      </c>
      <c r="D22" s="17" t="s">
        <v>135</v>
      </c>
    </row>
    <row r="23" customFormat="false" ht="51" hidden="false" customHeight="true" outlineLevel="0" collapsed="false">
      <c r="A23" s="1" t="s">
        <v>136</v>
      </c>
      <c r="B23" s="22" t="s">
        <v>2</v>
      </c>
      <c r="C23" s="20" t="s">
        <v>137</v>
      </c>
      <c r="D23" s="20" t="s">
        <v>88</v>
      </c>
    </row>
    <row r="24" customFormat="false" ht="153" hidden="false" customHeight="true" outlineLevel="0" collapsed="false">
      <c r="A24" s="1" t="s">
        <v>138</v>
      </c>
      <c r="B24" s="24" t="s">
        <v>3</v>
      </c>
      <c r="C24" s="25" t="s">
        <v>139</v>
      </c>
      <c r="D24" s="17" t="s">
        <v>88</v>
      </c>
    </row>
    <row r="25" customFormat="false" ht="15.75" hidden="false" customHeight="true" outlineLevel="0" collapsed="false">
      <c r="A25" s="1" t="s">
        <v>140</v>
      </c>
      <c r="B25" s="1" t="s">
        <v>141</v>
      </c>
      <c r="C25" s="26" t="s">
        <v>142</v>
      </c>
      <c r="D25" s="1" t="s">
        <v>143</v>
      </c>
    </row>
    <row r="26" customFormat="false" ht="51" hidden="false" customHeight="true" outlineLevel="0" collapsed="false">
      <c r="A26" s="1" t="s">
        <v>144</v>
      </c>
      <c r="B26" s="1" t="s">
        <v>4</v>
      </c>
      <c r="C26" s="20" t="s">
        <v>145</v>
      </c>
      <c r="D26" s="27" t="s">
        <v>146</v>
      </c>
    </row>
    <row r="27" customFormat="false" ht="16.5" hidden="false" customHeight="true" outlineLevel="0" collapsed="false">
      <c r="A27" s="1" t="s">
        <v>147</v>
      </c>
      <c r="B27" s="24" t="s">
        <v>148</v>
      </c>
      <c r="C27" s="17" t="s">
        <v>149</v>
      </c>
      <c r="D27" s="17" t="s">
        <v>150</v>
      </c>
    </row>
    <row r="28" customFormat="false" ht="102" hidden="false" customHeight="true" outlineLevel="0" collapsed="false">
      <c r="A28" s="1" t="s">
        <v>151</v>
      </c>
      <c r="B28" s="22" t="s">
        <v>152</v>
      </c>
      <c r="C28" s="20" t="s">
        <v>153</v>
      </c>
      <c r="D28" s="20" t="s">
        <v>103</v>
      </c>
    </row>
    <row r="29" customFormat="false" ht="33.75" hidden="false" customHeight="true" outlineLevel="0" collapsed="false">
      <c r="A29" s="1" t="s">
        <v>115</v>
      </c>
      <c r="B29" s="24" t="s">
        <v>154</v>
      </c>
      <c r="C29" s="17" t="s">
        <v>155</v>
      </c>
      <c r="D29" s="17"/>
    </row>
    <row r="30" customFormat="false" ht="67.5" hidden="false" customHeight="true" outlineLevel="0" collapsed="false">
      <c r="A30" s="1" t="s">
        <v>156</v>
      </c>
      <c r="B30" s="22" t="s">
        <v>157</v>
      </c>
      <c r="C30" s="20" t="s">
        <v>158</v>
      </c>
      <c r="D30" s="20" t="s">
        <v>88</v>
      </c>
    </row>
    <row r="31" customFormat="false" ht="16.5" hidden="false" customHeight="true" outlineLevel="0" collapsed="false">
      <c r="A31" s="1" t="s">
        <v>159</v>
      </c>
      <c r="B31" s="24" t="s">
        <v>160</v>
      </c>
      <c r="C31" s="17" t="s">
        <v>161</v>
      </c>
      <c r="D31" s="17" t="s">
        <v>162</v>
      </c>
    </row>
    <row r="32" customFormat="false" ht="67.5" hidden="false" customHeight="true" outlineLevel="0" collapsed="false">
      <c r="A32" s="1" t="s">
        <v>163</v>
      </c>
      <c r="B32" s="22" t="s">
        <v>164</v>
      </c>
      <c r="C32" s="20" t="s">
        <v>165</v>
      </c>
      <c r="D32" s="20" t="s">
        <v>166</v>
      </c>
    </row>
    <row r="33" customFormat="false" ht="16.5" hidden="false" customHeight="true" outlineLevel="0" collapsed="false">
      <c r="A33" s="1" t="s">
        <v>167</v>
      </c>
      <c r="B33" s="24" t="s">
        <v>168</v>
      </c>
      <c r="C33" s="17" t="s">
        <v>169</v>
      </c>
      <c r="D33" s="17" t="s">
        <v>170</v>
      </c>
    </row>
    <row r="34" customFormat="false" ht="33.75" hidden="false" customHeight="true" outlineLevel="0" collapsed="false">
      <c r="A34" s="1" t="s">
        <v>171</v>
      </c>
      <c r="B34" s="22" t="s">
        <v>172</v>
      </c>
      <c r="C34" s="20" t="s">
        <v>173</v>
      </c>
      <c r="D34" s="20" t="s">
        <v>103</v>
      </c>
    </row>
    <row r="35" customFormat="false" ht="33.75" hidden="false" customHeight="true" outlineLevel="0" collapsed="false">
      <c r="A35" s="1" t="s">
        <v>174</v>
      </c>
      <c r="B35" s="22" t="s">
        <v>175</v>
      </c>
      <c r="C35" s="20" t="s">
        <v>176</v>
      </c>
      <c r="D35" s="20" t="s">
        <v>177</v>
      </c>
    </row>
    <row r="36" customFormat="false" ht="16.5" hidden="false" customHeight="true" outlineLevel="0" collapsed="false"/>
    <row r="37" customFormat="false" ht="16.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72"/>
  <sheetViews>
    <sheetView showFormulas="false" showGridLines="true" showRowColHeaders="true" showZeros="true" rightToLeft="false" tabSelected="true" showOutlineSymbols="true" defaultGridColor="true" view="normal" topLeftCell="C1" colorId="64" zoomScale="107" zoomScaleNormal="107" zoomScalePageLayoutView="100" workbookViewId="0">
      <selection pane="topLeft" activeCell="G60" activeCellId="0" sqref="G60"/>
    </sheetView>
  </sheetViews>
  <sheetFormatPr defaultColWidth="48.00390625" defaultRowHeight="12.75" zeroHeight="false" outlineLevelRow="0" outlineLevelCol="0"/>
  <cols>
    <col collapsed="false" customWidth="true" hidden="false" outlineLevel="0" max="2" min="1" style="1" width="22.5"/>
    <col collapsed="false" customWidth="true" hidden="false" outlineLevel="0" max="3" min="3" style="1" width="18.16"/>
    <col collapsed="false" customWidth="true" hidden="false" outlineLevel="0" max="4" min="4" style="1" width="15.66"/>
    <col collapsed="false" customWidth="true" hidden="false" outlineLevel="0" max="6" min="5" style="1" width="16.33"/>
    <col collapsed="false" customWidth="true" hidden="false" outlineLevel="0" max="7" min="7" style="1" width="18.16"/>
    <col collapsed="false" customWidth="true" hidden="false" outlineLevel="0" max="8" min="8" style="1" width="10.66"/>
    <col collapsed="false" customWidth="true" hidden="false" outlineLevel="0" max="9" min="9" style="28" width="14.67"/>
    <col collapsed="false" customWidth="true" hidden="false" outlineLevel="0" max="10" min="10" style="1" width="25.67"/>
    <col collapsed="false" customWidth="true" hidden="false" outlineLevel="0" max="11" min="11" style="1" width="11.16"/>
    <col collapsed="false" customWidth="true" hidden="false" outlineLevel="0" max="12" min="12" style="1" width="28"/>
    <col collapsed="false" customWidth="true" hidden="false" outlineLevel="0" max="13" min="13" style="1" width="11.5"/>
    <col collapsed="false" customWidth="true" hidden="false" outlineLevel="0" max="14" min="14" style="1" width="15.66"/>
    <col collapsed="false" customWidth="true" hidden="false" outlineLevel="0" max="15" min="15" style="2" width="15.33"/>
    <col collapsed="false" customWidth="true" hidden="false" outlineLevel="0" max="16" min="16" style="1" width="24.33"/>
    <col collapsed="false" customWidth="true" hidden="false" outlineLevel="0" max="17" min="17" style="2" width="18.34"/>
    <col collapsed="false" customWidth="true" hidden="false" outlineLevel="0" max="18" min="18" style="2" width="18.5"/>
    <col collapsed="false" customWidth="true" hidden="false" outlineLevel="0" max="19" min="19" style="1" width="20"/>
    <col collapsed="false" customWidth="true" hidden="false" outlineLevel="0" max="20" min="20" style="1" width="30.16"/>
    <col collapsed="false" customWidth="true" hidden="false" outlineLevel="0" max="21" min="21" style="1" width="22.67"/>
    <col collapsed="false" customWidth="true" hidden="false" outlineLevel="0" max="22" min="22" style="1" width="17.16"/>
    <col collapsed="false" customWidth="true" hidden="false" outlineLevel="0" max="23" min="23" style="1" width="61.16"/>
    <col collapsed="false" customWidth="true" hidden="false" outlineLevel="0" max="24" min="24" style="1" width="10.33"/>
    <col collapsed="false" customWidth="true" hidden="false" outlineLevel="0" max="25" min="25" style="1" width="12"/>
    <col collapsed="false" customWidth="true" hidden="false" outlineLevel="0" max="26" min="26" style="1" width="11.33"/>
    <col collapsed="false" customWidth="true" hidden="false" outlineLevel="0" max="27" min="27" style="1" width="8.67"/>
    <col collapsed="false" customWidth="true" hidden="false" outlineLevel="0" max="28" min="28" style="1" width="7.33"/>
    <col collapsed="false" customWidth="true" hidden="false" outlineLevel="0" max="29" min="29" style="1" width="7"/>
    <col collapsed="false" customWidth="true" hidden="false" outlineLevel="0" max="30" min="30" style="1" width="7.33"/>
    <col collapsed="false" customWidth="true" hidden="false" outlineLevel="0" max="31" min="31" style="1" width="3.5"/>
    <col collapsed="false" customWidth="true" hidden="false" outlineLevel="0" max="32" min="32" style="1" width="8"/>
    <col collapsed="false" customWidth="true" hidden="false" outlineLevel="0" max="33" min="33" style="1" width="7.5"/>
    <col collapsed="false" customWidth="true" hidden="false" outlineLevel="0" max="34" min="34" style="1" width="7.67"/>
    <col collapsed="false" customWidth="true" hidden="false" outlineLevel="0" max="35" min="35" style="1" width="4.16"/>
    <col collapsed="false" customWidth="true" hidden="false" outlineLevel="0" max="36" min="36" style="3" width="12"/>
    <col collapsed="false" customWidth="true" hidden="false" outlineLevel="0" max="37" min="37" style="3" width="15.16"/>
    <col collapsed="false" customWidth="true" hidden="false" outlineLevel="0" max="38" min="38" style="1" width="14.16"/>
    <col collapsed="false" customWidth="true" hidden="false" outlineLevel="0" max="39" min="39" style="1" width="18.67"/>
    <col collapsed="false" customWidth="true" hidden="false" outlineLevel="0" max="40" min="40" style="1" width="43.16"/>
    <col collapsed="false" customWidth="true" hidden="false" outlineLevel="0" max="41" min="41" style="1" width="19.16"/>
  </cols>
  <sheetData>
    <row r="1" s="5" customFormat="true" ht="12.75" hidden="false" customHeight="true" outlineLevel="0" collapsed="false">
      <c r="A1" s="4" t="s">
        <v>130</v>
      </c>
      <c r="B1" s="4" t="s">
        <v>0</v>
      </c>
      <c r="C1" s="5" t="s">
        <v>1</v>
      </c>
      <c r="D1" s="5" t="s">
        <v>2</v>
      </c>
      <c r="E1" s="4" t="s">
        <v>3</v>
      </c>
      <c r="F1" s="4" t="s">
        <v>178</v>
      </c>
      <c r="G1" s="4" t="s">
        <v>4</v>
      </c>
      <c r="H1" s="4" t="s">
        <v>148</v>
      </c>
      <c r="I1" s="29" t="s">
        <v>152</v>
      </c>
      <c r="J1" s="8" t="s">
        <v>154</v>
      </c>
      <c r="K1" s="4" t="s">
        <v>157</v>
      </c>
      <c r="L1" s="8" t="s">
        <v>160</v>
      </c>
      <c r="M1" s="8" t="s">
        <v>164</v>
      </c>
      <c r="N1" s="8" t="s">
        <v>168</v>
      </c>
      <c r="O1" s="7" t="s">
        <v>172</v>
      </c>
      <c r="P1" s="4" t="s">
        <v>5</v>
      </c>
      <c r="Q1" s="6" t="s">
        <v>6</v>
      </c>
      <c r="R1" s="7" t="s">
        <v>7</v>
      </c>
      <c r="S1" s="8" t="s">
        <v>8</v>
      </c>
      <c r="T1" s="8" t="s">
        <v>9</v>
      </c>
      <c r="U1" s="8" t="s">
        <v>10</v>
      </c>
      <c r="V1" s="8" t="s">
        <v>11</v>
      </c>
      <c r="W1" s="4" t="s">
        <v>12</v>
      </c>
      <c r="X1" s="8" t="s">
        <v>13</v>
      </c>
      <c r="Y1" s="8" t="s">
        <v>14</v>
      </c>
      <c r="Z1" s="4" t="s">
        <v>15</v>
      </c>
      <c r="AA1" s="4" t="s">
        <v>16</v>
      </c>
      <c r="AB1" s="9" t="s">
        <v>17</v>
      </c>
      <c r="AC1" s="9" t="s">
        <v>18</v>
      </c>
      <c r="AD1" s="9" t="s">
        <v>19</v>
      </c>
      <c r="AE1" s="9" t="s">
        <v>20</v>
      </c>
      <c r="AF1" s="9" t="s">
        <v>21</v>
      </c>
      <c r="AG1" s="9" t="s">
        <v>22</v>
      </c>
      <c r="AH1" s="9" t="s">
        <v>23</v>
      </c>
      <c r="AI1" s="9" t="s">
        <v>24</v>
      </c>
      <c r="AJ1" s="10" t="s">
        <v>25</v>
      </c>
      <c r="AK1" s="10" t="s">
        <v>26</v>
      </c>
      <c r="AL1" s="8" t="s">
        <v>27</v>
      </c>
      <c r="AM1" s="8" t="s">
        <v>28</v>
      </c>
      <c r="AN1" s="8" t="s">
        <v>29</v>
      </c>
      <c r="AO1" s="8" t="s">
        <v>30</v>
      </c>
      <c r="AP1" s="8" t="s">
        <v>175</v>
      </c>
    </row>
    <row r="2" customFormat="false" ht="12.75" hidden="false" customHeight="true" outlineLevel="0" collapsed="false">
      <c r="A2" s="11" t="s">
        <v>179</v>
      </c>
      <c r="B2" s="11" t="s">
        <v>31</v>
      </c>
      <c r="C2" s="11" t="s">
        <v>32</v>
      </c>
      <c r="D2" s="11" t="s">
        <v>33</v>
      </c>
      <c r="E2" s="11" t="s">
        <v>34</v>
      </c>
      <c r="G2" s="11" t="s">
        <v>35</v>
      </c>
      <c r="H2" s="11" t="s">
        <v>180</v>
      </c>
      <c r="I2" s="11" t="s">
        <v>181</v>
      </c>
      <c r="J2" s="11" t="s">
        <v>182</v>
      </c>
      <c r="K2" s="11" t="s">
        <v>183</v>
      </c>
      <c r="L2" s="11" t="s">
        <v>183</v>
      </c>
      <c r="N2" s="11" t="s">
        <v>36</v>
      </c>
      <c r="O2" s="11" t="s">
        <v>184</v>
      </c>
      <c r="P2" s="11" t="s">
        <v>36</v>
      </c>
      <c r="Q2" s="11" t="s">
        <v>37</v>
      </c>
      <c r="R2" s="1"/>
      <c r="S2" s="11" t="s">
        <v>38</v>
      </c>
      <c r="T2" s="11" t="s">
        <v>39</v>
      </c>
      <c r="U2" s="11" t="s">
        <v>40</v>
      </c>
      <c r="W2" s="11" t="s">
        <v>41</v>
      </c>
      <c r="X2" s="11" t="s">
        <v>42</v>
      </c>
      <c r="Y2" s="11" t="s">
        <v>43</v>
      </c>
      <c r="Z2" s="11" t="s">
        <v>44</v>
      </c>
      <c r="AA2" s="11" t="s">
        <v>45</v>
      </c>
      <c r="AB2" s="1" t="n">
        <v>36</v>
      </c>
      <c r="AC2" s="1" t="n">
        <v>12.971</v>
      </c>
      <c r="AD2" s="1" t="n">
        <v>0</v>
      </c>
      <c r="AE2" s="11" t="s">
        <v>46</v>
      </c>
      <c r="AF2" s="1" t="n">
        <v>116</v>
      </c>
      <c r="AG2" s="1" t="n">
        <v>56.195</v>
      </c>
      <c r="AH2" s="1" t="n">
        <v>0</v>
      </c>
      <c r="AI2" s="11" t="s">
        <v>47</v>
      </c>
      <c r="AJ2" s="1" t="n">
        <f aca="false">IF(AE2="S",-1,1)*(AB2+AC2/60+AD2/3600)</f>
        <v>36.2161833333333</v>
      </c>
      <c r="AK2" s="1" t="n">
        <f aca="false">IF(AI2="W",-1,1)*(AF2+AG2/60+AH2/3600)</f>
        <v>-116.936583333333</v>
      </c>
      <c r="AL2" s="11" t="s">
        <v>48</v>
      </c>
      <c r="AM2" s="11" t="s">
        <v>49</v>
      </c>
      <c r="AN2" s="11" t="s">
        <v>50</v>
      </c>
      <c r="AP2" s="11" t="s">
        <v>185</v>
      </c>
    </row>
    <row r="3" customFormat="false" ht="12.75" hidden="false" customHeight="true" outlineLevel="0" collapsed="false">
      <c r="A3" s="11" t="s">
        <v>186</v>
      </c>
      <c r="B3" s="11" t="s">
        <v>51</v>
      </c>
      <c r="C3" s="11" t="s">
        <v>52</v>
      </c>
      <c r="D3" s="11" t="s">
        <v>53</v>
      </c>
      <c r="E3" s="11" t="s">
        <v>54</v>
      </c>
      <c r="G3" s="11" t="s">
        <v>35</v>
      </c>
      <c r="H3" s="11" t="s">
        <v>180</v>
      </c>
      <c r="I3" s="11" t="s">
        <v>187</v>
      </c>
      <c r="J3" s="11" t="s">
        <v>188</v>
      </c>
      <c r="K3" s="11" t="s">
        <v>189</v>
      </c>
      <c r="L3" s="11" t="s">
        <v>189</v>
      </c>
      <c r="N3" s="11" t="s">
        <v>190</v>
      </c>
      <c r="O3" s="11" t="s">
        <v>191</v>
      </c>
      <c r="P3" s="11" t="s">
        <v>55</v>
      </c>
      <c r="Q3" s="11" t="s">
        <v>56</v>
      </c>
      <c r="R3" s="11" t="s">
        <v>57</v>
      </c>
      <c r="S3" s="11" t="s">
        <v>58</v>
      </c>
      <c r="T3" s="11" t="s">
        <v>59</v>
      </c>
      <c r="U3" s="11" t="s">
        <v>60</v>
      </c>
      <c r="W3" s="11" t="s">
        <v>61</v>
      </c>
      <c r="X3" s="11" t="s">
        <v>62</v>
      </c>
      <c r="Y3" s="11" t="s">
        <v>63</v>
      </c>
      <c r="Z3" s="11" t="s">
        <v>64</v>
      </c>
      <c r="AA3" s="11" t="s">
        <v>65</v>
      </c>
      <c r="AJ3" s="1" t="n">
        <v>0.56094</v>
      </c>
      <c r="AK3" s="1" t="n">
        <v>30.36099</v>
      </c>
      <c r="AL3" s="11" t="s">
        <v>66</v>
      </c>
      <c r="AM3" s="11" t="s">
        <v>67</v>
      </c>
      <c r="AP3" s="11" t="s">
        <v>192</v>
      </c>
    </row>
    <row r="4" customFormat="false" ht="12.75" hidden="false" customHeight="true" outlineLevel="0" collapsed="false">
      <c r="A4" s="11" t="s">
        <v>193</v>
      </c>
      <c r="B4" s="11" t="s">
        <v>68</v>
      </c>
      <c r="C4" s="11" t="s">
        <v>69</v>
      </c>
      <c r="D4" s="11" t="s">
        <v>70</v>
      </c>
      <c r="E4" s="11" t="s">
        <v>71</v>
      </c>
      <c r="G4" s="11" t="s">
        <v>35</v>
      </c>
      <c r="H4" s="11" t="s">
        <v>180</v>
      </c>
      <c r="I4" s="11" t="s">
        <v>194</v>
      </c>
      <c r="J4" s="11" t="s">
        <v>195</v>
      </c>
      <c r="K4" s="11" t="s">
        <v>183</v>
      </c>
      <c r="L4" s="11" t="s">
        <v>183</v>
      </c>
      <c r="N4" s="11" t="s">
        <v>36</v>
      </c>
      <c r="O4" s="11" t="s">
        <v>184</v>
      </c>
      <c r="P4" s="11" t="s">
        <v>36</v>
      </c>
      <c r="Q4" s="11" t="s">
        <v>72</v>
      </c>
      <c r="R4" s="1"/>
      <c r="S4" s="11" t="s">
        <v>38</v>
      </c>
      <c r="T4" s="11" t="s">
        <v>73</v>
      </c>
      <c r="U4" s="11" t="s">
        <v>40</v>
      </c>
      <c r="W4" s="11" t="s">
        <v>74</v>
      </c>
      <c r="X4" s="11" t="s">
        <v>75</v>
      </c>
      <c r="Y4" s="11" t="s">
        <v>43</v>
      </c>
      <c r="Z4" s="11" t="s">
        <v>44</v>
      </c>
      <c r="AA4" s="11" t="s">
        <v>76</v>
      </c>
      <c r="AJ4" s="1" t="n">
        <v>38.29645</v>
      </c>
      <c r="AK4" s="1" t="n">
        <v>-119.63873</v>
      </c>
      <c r="AL4" s="11" t="s">
        <v>77</v>
      </c>
      <c r="AM4" s="11" t="s">
        <v>49</v>
      </c>
      <c r="AN4" s="11" t="s">
        <v>78</v>
      </c>
      <c r="AP4" s="11" t="s">
        <v>196</v>
      </c>
    </row>
    <row r="5" customFormat="false" ht="12.75" hidden="false" customHeight="true" outlineLevel="0" collapsed="false"/>
    <row r="6" customFormat="false" ht="12.75" hidden="false" customHeight="true" outlineLevel="0" collapsed="false"/>
    <row r="7" customFormat="false" ht="12.75" hidden="false" customHeight="true" outlineLevel="0" collapsed="false"/>
    <row r="8" customFormat="false" ht="12.75" hidden="false" customHeight="true" outlineLevel="0" collapsed="false"/>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s="30" customFormat="true" ht="12.75" hidden="false" customHeight="true" outlineLevel="0" collapsed="false"/>
    <row r="72" customFormat="false" ht="13.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10" activeCellId="0" sqref="C10"/>
    </sheetView>
  </sheetViews>
  <sheetFormatPr defaultColWidth="8.66796875" defaultRowHeight="12.75" zeroHeight="false" outlineLevelRow="0" outlineLevelCol="0"/>
  <cols>
    <col collapsed="false" customWidth="true" hidden="false" outlineLevel="0" max="1" min="1" style="1" width="38.16"/>
    <col collapsed="false" customWidth="true" hidden="false" outlineLevel="0" max="2" min="2" style="11" width="13.34"/>
    <col collapsed="false" customWidth="true" hidden="false" outlineLevel="0" max="3" min="3" style="11" width="11.67"/>
  </cols>
  <sheetData>
    <row r="1" customFormat="false" ht="20.25" hidden="false" customHeight="true" outlineLevel="0" collapsed="false">
      <c r="A1" s="31"/>
      <c r="B1" s="32" t="s">
        <v>197</v>
      </c>
      <c r="C1" s="32" t="s">
        <v>198</v>
      </c>
    </row>
    <row r="2" customFormat="false" ht="12.75" hidden="false" customHeight="true" outlineLevel="0" collapsed="false">
      <c r="A2" s="33" t="s">
        <v>199</v>
      </c>
      <c r="B2" s="11" t="s">
        <v>200</v>
      </c>
      <c r="C2" s="11" t="s">
        <v>201</v>
      </c>
    </row>
    <row r="3" customFormat="false" ht="12.75" hidden="false" customHeight="true" outlineLevel="0" collapsed="false">
      <c r="A3" s="33"/>
    </row>
    <row r="4" customFormat="false" ht="12.75" hidden="false" customHeight="true" outlineLevel="0" collapsed="false">
      <c r="A4" s="33"/>
    </row>
    <row r="5" customFormat="false" ht="12.75" hidden="false" customHeight="true" outlineLevel="0" collapsed="false">
      <c r="A5" s="33"/>
    </row>
    <row r="6" customFormat="false" ht="12.75" hidden="false" customHeight="true" outlineLevel="0" collapsed="false">
      <c r="A6" s="33" t="s">
        <v>202</v>
      </c>
      <c r="B6" s="11" t="s">
        <v>203</v>
      </c>
      <c r="C6" s="11" t="s">
        <v>204</v>
      </c>
    </row>
    <row r="7" customFormat="false" ht="12.75" hidden="false" customHeight="true" outlineLevel="0" collapsed="false">
      <c r="A7" s="33"/>
    </row>
    <row r="8" customFormat="false" ht="12.75" hidden="false" customHeight="true" outlineLevel="0" collapsed="false">
      <c r="A8" s="33"/>
    </row>
    <row r="9" customFormat="false" ht="12.75" hidden="false" customHeight="true" outlineLevel="0" collapsed="false">
      <c r="A9" s="33"/>
    </row>
    <row r="10" customFormat="false" ht="12.75" hidden="false" customHeight="true" outlineLevel="0" collapsed="false">
      <c r="A10" s="33" t="s">
        <v>205</v>
      </c>
      <c r="B10" s="11" t="n">
        <v>2001</v>
      </c>
      <c r="C10" s="11"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B6" activeCellId="0" sqref="B6"/>
    </sheetView>
  </sheetViews>
  <sheetFormatPr defaultColWidth="8.66796875" defaultRowHeight="12.75" zeroHeight="false" outlineLevelRow="0" outlineLevelCol="0"/>
  <cols>
    <col collapsed="false" customWidth="true" hidden="false" outlineLevel="0" max="1" min="1" style="1" width="22.16"/>
    <col collapsed="false" customWidth="true" hidden="false" outlineLevel="0" max="2" min="2" style="1" width="17.67"/>
    <col collapsed="false" customWidth="true" hidden="false" outlineLevel="0" max="3" min="3" style="1" width="19.16"/>
    <col collapsed="false" customWidth="true" hidden="false" outlineLevel="0" max="4" min="4" style="1" width="14.16"/>
    <col collapsed="false" customWidth="true" hidden="false" outlineLevel="0" max="5" min="5" style="1" width="18.67"/>
    <col collapsed="false" customWidth="true" hidden="false" outlineLevel="0" max="6" min="6" style="1" width="8.16"/>
    <col collapsed="false" customWidth="true" hidden="false" outlineLevel="0" max="7" min="7" style="1" width="8.34"/>
    <col collapsed="false" customWidth="true" hidden="false" outlineLevel="0" max="8" min="8" style="1" width="7"/>
    <col collapsed="false" customWidth="true" hidden="false" outlineLevel="0" max="9" min="9" style="1" width="13"/>
    <col collapsed="false" customWidth="true" hidden="false" outlineLevel="0" max="10" min="10" style="1" width="14.67"/>
    <col collapsed="false" customWidth="true" hidden="false" outlineLevel="0" max="11" min="11" style="1" width="6.33"/>
    <col collapsed="false" customWidth="true" hidden="false" outlineLevel="0" max="12" min="12" style="1" width="15.33"/>
    <col collapsed="false" customWidth="true" hidden="false" outlineLevel="0" max="13" min="13" style="1" width="7.16"/>
    <col collapsed="false" customWidth="true" hidden="false" outlineLevel="0" max="14" min="14" style="1" width="16"/>
    <col collapsed="false" customWidth="true" hidden="false" outlineLevel="0" max="15" min="15" style="1" width="14.52"/>
    <col collapsed="false" customWidth="true" hidden="false" outlineLevel="0" max="16" min="16" style="1" width="15"/>
    <col collapsed="false" customWidth="true" hidden="false" outlineLevel="0" max="18" min="18" style="1" width="14.52"/>
    <col collapsed="false" customWidth="true" hidden="false" outlineLevel="0" max="19" min="19" style="1" width="15.51"/>
    <col collapsed="false" customWidth="true" hidden="false" outlineLevel="0" max="20" min="20" style="1" width="7.5"/>
  </cols>
  <sheetData>
    <row r="1" customFormat="false" ht="15.75" hidden="false" customHeight="true" outlineLevel="0" collapsed="false">
      <c r="A1" s="34" t="s">
        <v>207</v>
      </c>
      <c r="B1" s="34"/>
      <c r="C1" s="34"/>
      <c r="D1" s="34"/>
      <c r="E1" s="35"/>
      <c r="F1" s="35"/>
      <c r="G1" s="35"/>
    </row>
    <row r="2" customFormat="false" ht="15.75" hidden="false" customHeight="true" outlineLevel="0" collapsed="false">
      <c r="A2" s="36"/>
      <c r="B2" s="36"/>
      <c r="C2" s="36"/>
      <c r="D2" s="36"/>
      <c r="E2" s="35"/>
      <c r="F2" s="35"/>
      <c r="G2" s="35"/>
    </row>
    <row r="3" customFormat="false" ht="12.75" hidden="false" customHeight="true" outlineLevel="0" collapsed="false">
      <c r="A3" s="37" t="s">
        <v>208</v>
      </c>
      <c r="B3" s="38"/>
      <c r="C3" s="38"/>
      <c r="D3" s="38"/>
      <c r="E3" s="38"/>
      <c r="F3" s="38"/>
      <c r="G3" s="38"/>
    </row>
    <row r="4" customFormat="false" ht="13.5" hidden="false" customHeight="true" outlineLevel="0" collapsed="false">
      <c r="A4" s="39"/>
      <c r="B4" s="38"/>
      <c r="C4" s="38"/>
      <c r="D4" s="38"/>
      <c r="E4" s="38"/>
      <c r="F4" s="38"/>
      <c r="G4" s="38"/>
    </row>
    <row r="5" customFormat="false" ht="12.75" hidden="false" customHeight="true" outlineLevel="0" collapsed="false">
      <c r="A5" s="40" t="s">
        <v>209</v>
      </c>
      <c r="B5" s="40"/>
      <c r="C5" s="40"/>
      <c r="D5" s="40"/>
      <c r="E5" s="40"/>
      <c r="F5" s="40"/>
      <c r="G5" s="40"/>
      <c r="H5" s="40"/>
    </row>
    <row r="6" customFormat="false" ht="12.75" hidden="false" customHeight="true" outlineLevel="0" collapsed="false">
      <c r="A6" s="40"/>
      <c r="B6" s="33" t="s">
        <v>210</v>
      </c>
      <c r="C6" s="40"/>
      <c r="D6" s="40"/>
      <c r="E6" s="40"/>
      <c r="F6" s="40"/>
      <c r="G6" s="40"/>
      <c r="H6" s="40"/>
    </row>
    <row r="7" customFormat="false" ht="12.75" hidden="false" customHeight="true" outlineLevel="0" collapsed="false">
      <c r="A7" s="40"/>
      <c r="B7" s="40"/>
      <c r="C7" s="40"/>
      <c r="D7" s="40"/>
      <c r="E7" s="40"/>
      <c r="F7" s="40"/>
      <c r="G7" s="40"/>
      <c r="H7" s="40"/>
    </row>
    <row r="8" customFormat="false" ht="12.75" hidden="false" customHeight="true" outlineLevel="0" collapsed="false">
      <c r="A8" s="40" t="s">
        <v>211</v>
      </c>
      <c r="B8" s="40"/>
      <c r="C8" s="40"/>
      <c r="D8" s="40"/>
      <c r="E8" s="40"/>
      <c r="F8" s="40"/>
      <c r="G8" s="40"/>
      <c r="H8" s="40"/>
    </row>
    <row r="9" customFormat="false" ht="12.75" hidden="false" customHeight="true" outlineLevel="0" collapsed="false">
      <c r="A9" s="40"/>
      <c r="B9" s="33" t="s">
        <v>212</v>
      </c>
      <c r="C9" s="40"/>
      <c r="D9" s="40"/>
      <c r="E9" s="40"/>
      <c r="F9" s="40"/>
      <c r="G9" s="40"/>
      <c r="H9" s="40"/>
    </row>
    <row r="10" customFormat="false" ht="12.75" hidden="false" customHeight="true" outlineLevel="0" collapsed="false">
      <c r="A10" s="40"/>
      <c r="B10" s="33"/>
      <c r="C10" s="40"/>
      <c r="D10" s="40"/>
      <c r="E10" s="40"/>
      <c r="F10" s="40"/>
      <c r="G10" s="40"/>
      <c r="H10" s="40"/>
    </row>
    <row r="11" customFormat="false" ht="12.75" hidden="false" customHeight="true" outlineLevel="0" collapsed="false">
      <c r="A11" s="40"/>
      <c r="B11" s="33"/>
      <c r="C11" s="40"/>
      <c r="D11" s="40"/>
      <c r="E11" s="40"/>
      <c r="F11" s="40"/>
      <c r="G11" s="40"/>
      <c r="H11" s="40"/>
    </row>
    <row r="12" customFormat="false" ht="12.75" hidden="false" customHeight="true" outlineLevel="0" collapsed="false">
      <c r="A12" s="33" t="s">
        <v>213</v>
      </c>
    </row>
    <row r="13" customFormat="false" ht="13.5" hidden="false" customHeight="true" outlineLevel="0" collapsed="false">
      <c r="A13" s="31"/>
    </row>
    <row r="14" customFormat="false" ht="12.75" hidden="false" customHeight="true" outlineLevel="0" collapsed="false">
      <c r="A14" s="1" t="s">
        <v>214</v>
      </c>
    </row>
    <row r="17" customFormat="false" ht="12.75" hidden="false" customHeight="true" outlineLevel="0" collapsed="false">
      <c r="A17" s="41"/>
      <c r="B17" s="41"/>
      <c r="C17" s="41"/>
      <c r="D17" s="41"/>
      <c r="E17" s="41"/>
      <c r="F17" s="41"/>
      <c r="G17" s="41"/>
      <c r="H17" s="41"/>
      <c r="J17" s="41"/>
      <c r="K17" s="41"/>
      <c r="L17" s="41"/>
      <c r="M17" s="41"/>
      <c r="O17" s="41"/>
      <c r="P17" s="41"/>
      <c r="Q17" s="41"/>
      <c r="R17" s="41"/>
      <c r="S17" s="41"/>
      <c r="T17" s="41"/>
    </row>
    <row r="18" customFormat="false" ht="12.75" hidden="false" customHeight="true" outlineLevel="0" collapsed="false">
      <c r="A18" s="41"/>
      <c r="B18" s="41"/>
      <c r="C18" s="41"/>
      <c r="D18" s="41"/>
      <c r="E18" s="41"/>
      <c r="F18" s="41"/>
      <c r="G18" s="41"/>
      <c r="H18" s="41"/>
      <c r="I18" s="33"/>
      <c r="J18" s="41"/>
      <c r="K18" s="41"/>
      <c r="L18" s="41"/>
      <c r="M18" s="41"/>
      <c r="N18" s="42"/>
      <c r="O18" s="41"/>
      <c r="P18" s="41"/>
      <c r="Q18" s="41"/>
      <c r="R18" s="41"/>
      <c r="S18" s="41"/>
      <c r="T18" s="41"/>
    </row>
    <row r="19" customFormat="false" ht="12.75" hidden="false" customHeight="true" outlineLevel="0" collapsed="false">
      <c r="A19" s="40"/>
      <c r="B19" s="40"/>
      <c r="C19" s="40"/>
      <c r="D19" s="40"/>
      <c r="E19" s="40"/>
      <c r="F19" s="40"/>
      <c r="G19" s="40"/>
      <c r="H19" s="40"/>
      <c r="I19" s="40"/>
      <c r="J19" s="40"/>
      <c r="K19" s="40"/>
      <c r="L19" s="40"/>
      <c r="M19" s="40"/>
      <c r="N19" s="40"/>
      <c r="O19" s="40"/>
      <c r="P19" s="40"/>
      <c r="Q19" s="40"/>
      <c r="R19" s="40"/>
      <c r="S19" s="40"/>
      <c r="T19" s="40"/>
    </row>
    <row r="24" customFormat="false" ht="12.75" hidden="false" customHeight="true" outlineLevel="0" collapsed="false">
      <c r="A24" s="41"/>
      <c r="B24" s="41"/>
      <c r="C24" s="41"/>
      <c r="D24" s="41"/>
      <c r="E24" s="41"/>
      <c r="F24" s="41"/>
    </row>
    <row r="25" customFormat="false" ht="12.75" hidden="false" customHeight="true" outlineLevel="0" collapsed="false">
      <c r="A25" s="41"/>
      <c r="B25" s="41"/>
      <c r="C25" s="41"/>
      <c r="D25" s="41"/>
      <c r="E25" s="41"/>
      <c r="F25" s="41"/>
    </row>
    <row r="26" customFormat="false" ht="12.75" hidden="false" customHeight="true" outlineLevel="0" collapsed="false">
      <c r="A26" s="40"/>
      <c r="B26" s="40"/>
      <c r="C26" s="40"/>
      <c r="D26" s="40"/>
      <c r="E26" s="40"/>
      <c r="F26" s="40"/>
    </row>
    <row r="31" customFormat="false" ht="12.75" hidden="false" customHeight="true" outlineLevel="0" collapsed="false">
      <c r="A31" s="41"/>
      <c r="B31" s="41"/>
      <c r="C31" s="41"/>
      <c r="D31" s="41"/>
    </row>
    <row r="32" customFormat="false" ht="12.75" hidden="false" customHeight="true" outlineLevel="0" collapsed="false">
      <c r="A32" s="41"/>
      <c r="B32" s="41"/>
      <c r="C32" s="41"/>
      <c r="D32" s="41"/>
    </row>
    <row r="33" customFormat="false" ht="12.75" hidden="false" customHeight="true" outlineLevel="0" collapsed="false">
      <c r="A33" s="40"/>
      <c r="B33" s="40"/>
      <c r="C33" s="40"/>
      <c r="D33" s="40"/>
    </row>
  </sheetData>
  <mergeCells count="16">
    <mergeCell ref="A1:D1"/>
    <mergeCell ref="A17:H17"/>
    <mergeCell ref="J17:M17"/>
    <mergeCell ref="O17:T17"/>
    <mergeCell ref="A18:D18"/>
    <mergeCell ref="E18:H18"/>
    <mergeCell ref="J18:K18"/>
    <mergeCell ref="L18:M18"/>
    <mergeCell ref="O18:Q18"/>
    <mergeCell ref="R18:T18"/>
    <mergeCell ref="A24:F24"/>
    <mergeCell ref="A25:C25"/>
    <mergeCell ref="D25:F25"/>
    <mergeCell ref="A31:D31"/>
    <mergeCell ref="A32:B32"/>
    <mergeCell ref="C32:D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0"/>
  <sheetViews>
    <sheetView showFormulas="false" showGridLines="true" showRowColHeaders="true" showZeros="true" rightToLeft="false" tabSelected="false" showOutlineSymbols="true" defaultGridColor="true" view="normal" topLeftCell="A247" colorId="64" zoomScale="150" zoomScaleNormal="150" zoomScalePageLayoutView="100" workbookViewId="0">
      <selection pane="topLeft" activeCell="B190" activeCellId="0" sqref="B190"/>
    </sheetView>
  </sheetViews>
  <sheetFormatPr defaultColWidth="10.66796875" defaultRowHeight="12.75" zeroHeight="false" outlineLevelRow="0" outlineLevelCol="0"/>
  <cols>
    <col collapsed="false" customWidth="true" hidden="false" outlineLevel="0" max="1" min="1" style="1" width="36.5"/>
    <col collapsed="false" customWidth="true" hidden="false" outlineLevel="0" max="2" min="2" style="1" width="8.34"/>
    <col collapsed="false" customWidth="true" hidden="false" outlineLevel="0" max="3" min="3" style="1" width="128.5"/>
  </cols>
  <sheetData>
    <row r="1" customFormat="false" ht="12.75" hidden="false" customHeight="true" outlineLevel="0" collapsed="false">
      <c r="A1" s="43" t="s">
        <v>215</v>
      </c>
      <c r="B1" s="43" t="s">
        <v>216</v>
      </c>
      <c r="C1" s="43" t="s">
        <v>217</v>
      </c>
    </row>
    <row r="2" customFormat="false" ht="12.75" hidden="false" customHeight="true" outlineLevel="0" collapsed="false">
      <c r="A2" s="1" t="s">
        <v>218</v>
      </c>
      <c r="B2" s="1" t="s">
        <v>219</v>
      </c>
    </row>
    <row r="3" customFormat="false" ht="12.75" hidden="false" customHeight="true" outlineLevel="0" collapsed="false">
      <c r="A3" s="1" t="s">
        <v>220</v>
      </c>
      <c r="B3" s="1" t="s">
        <v>221</v>
      </c>
    </row>
    <row r="4" customFormat="false" ht="12.75" hidden="false" customHeight="true" outlineLevel="0" collapsed="false">
      <c r="A4" s="1" t="s">
        <v>222</v>
      </c>
      <c r="B4" s="1" t="s">
        <v>223</v>
      </c>
    </row>
    <row r="5" customFormat="false" ht="12.75" hidden="false" customHeight="true" outlineLevel="0" collapsed="false">
      <c r="A5" s="1" t="s">
        <v>224</v>
      </c>
      <c r="B5" s="1" t="s">
        <v>225</v>
      </c>
    </row>
    <row r="6" customFormat="false" ht="12.75" hidden="false" customHeight="true" outlineLevel="0" collapsed="false">
      <c r="A6" s="1" t="s">
        <v>226</v>
      </c>
      <c r="B6" s="1" t="s">
        <v>227</v>
      </c>
    </row>
    <row r="7" customFormat="false" ht="12.75" hidden="false" customHeight="true" outlineLevel="0" collapsed="false">
      <c r="A7" s="1" t="s">
        <v>228</v>
      </c>
      <c r="B7" s="1" t="s">
        <v>229</v>
      </c>
    </row>
    <row r="8" customFormat="false" ht="12.75" hidden="false" customHeight="true" outlineLevel="0" collapsed="false">
      <c r="A8" s="1" t="s">
        <v>230</v>
      </c>
      <c r="B8" s="1" t="s">
        <v>231</v>
      </c>
    </row>
    <row r="9" customFormat="false" ht="12.75" hidden="false" customHeight="true" outlineLevel="0" collapsed="false">
      <c r="A9" s="1" t="s">
        <v>232</v>
      </c>
      <c r="B9" s="1" t="s">
        <v>233</v>
      </c>
    </row>
    <row r="10" customFormat="false" ht="12.75" hidden="false" customHeight="true" outlineLevel="0" collapsed="false">
      <c r="A10" s="1" t="s">
        <v>234</v>
      </c>
      <c r="B10" s="1" t="s">
        <v>235</v>
      </c>
    </row>
    <row r="11" customFormat="false" ht="12.75" hidden="false" customHeight="true" outlineLevel="0" collapsed="false">
      <c r="A11" s="1" t="s">
        <v>236</v>
      </c>
      <c r="B11" s="1" t="s">
        <v>237</v>
      </c>
    </row>
    <row r="12" customFormat="false" ht="12.75" hidden="false" customHeight="true" outlineLevel="0" collapsed="false">
      <c r="A12" s="1" t="s">
        <v>238</v>
      </c>
      <c r="B12" s="1" t="s">
        <v>239</v>
      </c>
    </row>
    <row r="13" customFormat="false" ht="12.75" hidden="false" customHeight="true" outlineLevel="0" collapsed="false">
      <c r="A13" s="1" t="s">
        <v>240</v>
      </c>
      <c r="B13" s="1" t="s">
        <v>241</v>
      </c>
    </row>
    <row r="14" customFormat="false" ht="12.75" hidden="false" customHeight="true" outlineLevel="0" collapsed="false">
      <c r="A14" s="1" t="s">
        <v>242</v>
      </c>
      <c r="B14" s="1" t="s">
        <v>243</v>
      </c>
    </row>
    <row r="15" customFormat="false" ht="12.75" hidden="false" customHeight="true" outlineLevel="0" collapsed="false">
      <c r="A15" s="1" t="s">
        <v>244</v>
      </c>
      <c r="B15" s="1" t="s">
        <v>245</v>
      </c>
    </row>
    <row r="16" customFormat="false" ht="12.75" hidden="false" customHeight="true" outlineLevel="0" collapsed="false">
      <c r="A16" s="1" t="s">
        <v>246</v>
      </c>
      <c r="B16" s="1" t="s">
        <v>247</v>
      </c>
    </row>
    <row r="17" customFormat="false" ht="12.75" hidden="false" customHeight="true" outlineLevel="0" collapsed="false">
      <c r="A17" s="1" t="s">
        <v>248</v>
      </c>
      <c r="B17" s="1" t="s">
        <v>249</v>
      </c>
    </row>
    <row r="18" customFormat="false" ht="12.75" hidden="false" customHeight="true" outlineLevel="0" collapsed="false">
      <c r="A18" s="1" t="s">
        <v>250</v>
      </c>
      <c r="B18" s="1" t="s">
        <v>251</v>
      </c>
    </row>
    <row r="19" customFormat="false" ht="12.75" hidden="false" customHeight="true" outlineLevel="0" collapsed="false">
      <c r="A19" s="1" t="s">
        <v>252</v>
      </c>
      <c r="B19" s="1" t="s">
        <v>253</v>
      </c>
    </row>
    <row r="20" customFormat="false" ht="12.75" hidden="false" customHeight="true" outlineLevel="0" collapsed="false">
      <c r="A20" s="1" t="s">
        <v>254</v>
      </c>
      <c r="B20" s="1" t="s">
        <v>255</v>
      </c>
    </row>
    <row r="21" customFormat="false" ht="12.75" hidden="false" customHeight="true" outlineLevel="0" collapsed="false">
      <c r="A21" s="1" t="s">
        <v>256</v>
      </c>
      <c r="B21" s="1" t="s">
        <v>257</v>
      </c>
    </row>
    <row r="22" customFormat="false" ht="12.75" hidden="false" customHeight="true" outlineLevel="0" collapsed="false">
      <c r="A22" s="1" t="s">
        <v>258</v>
      </c>
      <c r="B22" s="1" t="s">
        <v>259</v>
      </c>
      <c r="C22" s="1" t="s">
        <v>260</v>
      </c>
    </row>
    <row r="23" customFormat="false" ht="12.75" hidden="false" customHeight="true" outlineLevel="0" collapsed="false">
      <c r="A23" s="1" t="s">
        <v>261</v>
      </c>
      <c r="B23" s="1" t="s">
        <v>262</v>
      </c>
    </row>
    <row r="24" customFormat="false" ht="12.75" hidden="false" customHeight="true" outlineLevel="0" collapsed="false">
      <c r="A24" s="1" t="s">
        <v>263</v>
      </c>
      <c r="B24" s="1" t="s">
        <v>264</v>
      </c>
    </row>
    <row r="25" customFormat="false" ht="12.75" hidden="false" customHeight="true" outlineLevel="0" collapsed="false">
      <c r="A25" s="1" t="s">
        <v>265</v>
      </c>
      <c r="B25" s="1" t="s">
        <v>266</v>
      </c>
      <c r="C25" s="1" t="s">
        <v>267</v>
      </c>
    </row>
    <row r="26" customFormat="false" ht="12.75" hidden="false" customHeight="true" outlineLevel="0" collapsed="false">
      <c r="A26" s="1" t="s">
        <v>268</v>
      </c>
      <c r="B26" s="1" t="s">
        <v>269</v>
      </c>
    </row>
    <row r="27" customFormat="false" ht="12.75" hidden="false" customHeight="true" outlineLevel="0" collapsed="false">
      <c r="A27" s="1" t="s">
        <v>270</v>
      </c>
      <c r="B27" s="1" t="s">
        <v>271</v>
      </c>
    </row>
    <row r="28" customFormat="false" ht="12.75" hidden="false" customHeight="true" outlineLevel="0" collapsed="false">
      <c r="A28" s="1" t="s">
        <v>272</v>
      </c>
      <c r="B28" s="1" t="s">
        <v>273</v>
      </c>
    </row>
    <row r="29" customFormat="false" ht="12.75" hidden="false" customHeight="true" outlineLevel="0" collapsed="false">
      <c r="A29" s="1" t="s">
        <v>274</v>
      </c>
      <c r="B29" s="1" t="s">
        <v>275</v>
      </c>
      <c r="C29" s="1" t="s">
        <v>276</v>
      </c>
    </row>
    <row r="30" customFormat="false" ht="12.75" hidden="false" customHeight="true" outlineLevel="0" collapsed="false">
      <c r="A30" s="1" t="s">
        <v>277</v>
      </c>
      <c r="B30" s="1" t="s">
        <v>278</v>
      </c>
    </row>
    <row r="31" customFormat="false" ht="12.75" hidden="false" customHeight="true" outlineLevel="0" collapsed="false">
      <c r="A31" s="1" t="s">
        <v>279</v>
      </c>
      <c r="B31" s="1" t="s">
        <v>280</v>
      </c>
    </row>
    <row r="32" customFormat="false" ht="12.75" hidden="false" customHeight="true" outlineLevel="0" collapsed="false">
      <c r="A32" s="1" t="s">
        <v>281</v>
      </c>
      <c r="B32" s="1" t="s">
        <v>282</v>
      </c>
    </row>
    <row r="33" customFormat="false" ht="12.75" hidden="false" customHeight="true" outlineLevel="0" collapsed="false">
      <c r="A33" s="1" t="s">
        <v>283</v>
      </c>
      <c r="B33" s="1" t="s">
        <v>284</v>
      </c>
    </row>
    <row r="34" customFormat="false" ht="12.75" hidden="false" customHeight="true" outlineLevel="0" collapsed="false">
      <c r="A34" s="1" t="s">
        <v>285</v>
      </c>
      <c r="B34" s="1" t="s">
        <v>286</v>
      </c>
      <c r="C34" s="1" t="s">
        <v>287</v>
      </c>
    </row>
    <row r="35" customFormat="false" ht="12.75" hidden="false" customHeight="true" outlineLevel="0" collapsed="false">
      <c r="A35" s="1" t="s">
        <v>288</v>
      </c>
      <c r="B35" s="1" t="s">
        <v>289</v>
      </c>
    </row>
    <row r="36" customFormat="false" ht="12.75" hidden="false" customHeight="true" outlineLevel="0" collapsed="false">
      <c r="A36" s="1" t="s">
        <v>290</v>
      </c>
      <c r="B36" s="1" t="s">
        <v>291</v>
      </c>
    </row>
    <row r="37" customFormat="false" ht="12.75" hidden="false" customHeight="true" outlineLevel="0" collapsed="false">
      <c r="A37" s="1" t="s">
        <v>292</v>
      </c>
      <c r="B37" s="1" t="s">
        <v>293</v>
      </c>
      <c r="C37" s="1" t="s">
        <v>294</v>
      </c>
    </row>
    <row r="38" customFormat="false" ht="12.75" hidden="false" customHeight="true" outlineLevel="0" collapsed="false">
      <c r="A38" s="1" t="s">
        <v>295</v>
      </c>
      <c r="B38" s="1" t="s">
        <v>296</v>
      </c>
    </row>
    <row r="39" customFormat="false" ht="12.75" hidden="false" customHeight="true" outlineLevel="0" collapsed="false">
      <c r="A39" s="1" t="s">
        <v>297</v>
      </c>
      <c r="B39" s="1" t="s">
        <v>298</v>
      </c>
      <c r="C39" s="1" t="s">
        <v>299</v>
      </c>
    </row>
    <row r="40" customFormat="false" ht="12.75" hidden="false" customHeight="true" outlineLevel="0" collapsed="false">
      <c r="A40" s="1" t="s">
        <v>300</v>
      </c>
      <c r="B40" s="1" t="s">
        <v>301</v>
      </c>
    </row>
    <row r="41" customFormat="false" ht="12.75" hidden="false" customHeight="true" outlineLevel="0" collapsed="false">
      <c r="A41" s="1" t="s">
        <v>302</v>
      </c>
      <c r="B41" s="1" t="s">
        <v>303</v>
      </c>
    </row>
    <row r="42" customFormat="false" ht="12.75" hidden="false" customHeight="true" outlineLevel="0" collapsed="false">
      <c r="A42" s="1" t="s">
        <v>304</v>
      </c>
      <c r="B42" s="1" t="s">
        <v>305</v>
      </c>
    </row>
    <row r="43" customFormat="false" ht="12.75" hidden="false" customHeight="true" outlineLevel="0" collapsed="false">
      <c r="A43" s="1" t="s">
        <v>306</v>
      </c>
      <c r="B43" s="1" t="s">
        <v>307</v>
      </c>
    </row>
    <row r="44" customFormat="false" ht="12.75" hidden="false" customHeight="true" outlineLevel="0" collapsed="false">
      <c r="A44" s="1" t="s">
        <v>308</v>
      </c>
      <c r="B44" s="1" t="s">
        <v>309</v>
      </c>
    </row>
    <row r="45" customFormat="false" ht="12.75" hidden="false" customHeight="true" outlineLevel="0" collapsed="false">
      <c r="A45" s="1" t="s">
        <v>310</v>
      </c>
      <c r="B45" s="1" t="s">
        <v>311</v>
      </c>
      <c r="C45" s="1" t="s">
        <v>312</v>
      </c>
    </row>
    <row r="46" customFormat="false" ht="12.75" hidden="false" customHeight="true" outlineLevel="0" collapsed="false">
      <c r="A46" s="1" t="s">
        <v>313</v>
      </c>
      <c r="B46" s="1" t="s">
        <v>314</v>
      </c>
    </row>
    <row r="47" customFormat="false" ht="12.75" hidden="false" customHeight="true" outlineLevel="0" collapsed="false">
      <c r="A47" s="1" t="s">
        <v>315</v>
      </c>
      <c r="B47" s="1" t="s">
        <v>316</v>
      </c>
      <c r="C47" s="1" t="s">
        <v>317</v>
      </c>
    </row>
    <row r="48" customFormat="false" ht="12.75" hidden="false" customHeight="true" outlineLevel="0" collapsed="false">
      <c r="A48" s="1" t="s">
        <v>318</v>
      </c>
      <c r="B48" s="1" t="s">
        <v>319</v>
      </c>
    </row>
    <row r="49" customFormat="false" ht="12.75" hidden="false" customHeight="true" outlineLevel="0" collapsed="false">
      <c r="A49" s="1" t="s">
        <v>320</v>
      </c>
      <c r="B49" s="1" t="s">
        <v>321</v>
      </c>
    </row>
    <row r="50" customFormat="false" ht="12.75" hidden="false" customHeight="true" outlineLevel="0" collapsed="false">
      <c r="A50" s="1" t="s">
        <v>322</v>
      </c>
      <c r="B50" s="1" t="s">
        <v>323</v>
      </c>
    </row>
    <row r="51" customFormat="false" ht="12.75" hidden="false" customHeight="true" outlineLevel="0" collapsed="false">
      <c r="A51" s="1" t="s">
        <v>324</v>
      </c>
      <c r="B51" s="1" t="s">
        <v>325</v>
      </c>
    </row>
    <row r="52" customFormat="false" ht="12.75" hidden="false" customHeight="true" outlineLevel="0" collapsed="false">
      <c r="A52" s="1" t="s">
        <v>326</v>
      </c>
      <c r="B52" s="1" t="s">
        <v>327</v>
      </c>
      <c r="C52" s="1" t="s">
        <v>328</v>
      </c>
    </row>
    <row r="53" customFormat="false" ht="12.75" hidden="false" customHeight="true" outlineLevel="0" collapsed="false">
      <c r="A53" s="1" t="s">
        <v>329</v>
      </c>
      <c r="B53" s="1" t="s">
        <v>330</v>
      </c>
      <c r="C53" s="1" t="s">
        <v>331</v>
      </c>
    </row>
    <row r="54" customFormat="false" ht="12.75" hidden="false" customHeight="true" outlineLevel="0" collapsed="false">
      <c r="A54" s="1" t="s">
        <v>332</v>
      </c>
      <c r="B54" s="1" t="s">
        <v>333</v>
      </c>
    </row>
    <row r="55" customFormat="false" ht="12.75" hidden="false" customHeight="true" outlineLevel="0" collapsed="false">
      <c r="A55" s="1" t="s">
        <v>334</v>
      </c>
      <c r="B55" s="1" t="s">
        <v>335</v>
      </c>
    </row>
    <row r="56" customFormat="false" ht="12.75" hidden="false" customHeight="true" outlineLevel="0" collapsed="false">
      <c r="A56" s="1" t="s">
        <v>336</v>
      </c>
      <c r="B56" s="1" t="s">
        <v>337</v>
      </c>
      <c r="C56" s="1" t="s">
        <v>338</v>
      </c>
    </row>
    <row r="57" customFormat="false" ht="12.75" hidden="false" customHeight="true" outlineLevel="0" collapsed="false">
      <c r="A57" s="1" t="s">
        <v>339</v>
      </c>
      <c r="B57" s="1" t="s">
        <v>340</v>
      </c>
      <c r="C57" s="1" t="s">
        <v>341</v>
      </c>
    </row>
    <row r="58" customFormat="false" ht="12.75" hidden="false" customHeight="true" outlineLevel="0" collapsed="false">
      <c r="A58" s="1" t="s">
        <v>342</v>
      </c>
      <c r="B58" s="1" t="s">
        <v>343</v>
      </c>
    </row>
    <row r="59" customFormat="false" ht="12.75" hidden="false" customHeight="true" outlineLevel="0" collapsed="false">
      <c r="A59" s="1" t="s">
        <v>344</v>
      </c>
      <c r="B59" s="1" t="s">
        <v>345</v>
      </c>
      <c r="C59" s="1" t="s">
        <v>346</v>
      </c>
    </row>
    <row r="60" customFormat="false" ht="12.75" hidden="false" customHeight="true" outlineLevel="0" collapsed="false">
      <c r="A60" s="1" t="s">
        <v>347</v>
      </c>
      <c r="B60" s="1" t="s">
        <v>348</v>
      </c>
    </row>
    <row r="61" customFormat="false" ht="12.75" hidden="false" customHeight="true" outlineLevel="0" collapsed="false">
      <c r="A61" s="1" t="s">
        <v>349</v>
      </c>
      <c r="B61" s="1" t="s">
        <v>350</v>
      </c>
    </row>
    <row r="62" customFormat="false" ht="12.75" hidden="false" customHeight="true" outlineLevel="0" collapsed="false">
      <c r="A62" s="1" t="s">
        <v>351</v>
      </c>
      <c r="B62" s="1" t="s">
        <v>352</v>
      </c>
    </row>
    <row r="63" customFormat="false" ht="12.75" hidden="false" customHeight="true" outlineLevel="0" collapsed="false">
      <c r="A63" s="1" t="s">
        <v>353</v>
      </c>
      <c r="B63" s="1" t="s">
        <v>354</v>
      </c>
      <c r="C63" s="1" t="s">
        <v>355</v>
      </c>
    </row>
    <row r="64" customFormat="false" ht="12.75" hidden="false" customHeight="true" outlineLevel="0" collapsed="false">
      <c r="A64" s="1" t="s">
        <v>356</v>
      </c>
      <c r="B64" s="1" t="s">
        <v>357</v>
      </c>
    </row>
    <row r="65" customFormat="false" ht="12.75" hidden="false" customHeight="true" outlineLevel="0" collapsed="false">
      <c r="A65" s="1" t="s">
        <v>358</v>
      </c>
      <c r="B65" s="1" t="s">
        <v>359</v>
      </c>
    </row>
    <row r="66" customFormat="false" ht="12.75" hidden="false" customHeight="true" outlineLevel="0" collapsed="false">
      <c r="A66" s="1" t="s">
        <v>360</v>
      </c>
      <c r="B66" s="1" t="s">
        <v>361</v>
      </c>
    </row>
    <row r="67" customFormat="false" ht="12.75" hidden="false" customHeight="true" outlineLevel="0" collapsed="false">
      <c r="A67" s="1" t="s">
        <v>362</v>
      </c>
      <c r="B67" s="1" t="s">
        <v>363</v>
      </c>
    </row>
    <row r="68" customFormat="false" ht="12.75" hidden="false" customHeight="true" outlineLevel="0" collapsed="false">
      <c r="A68" s="1" t="s">
        <v>364</v>
      </c>
      <c r="B68" s="1" t="s">
        <v>365</v>
      </c>
    </row>
    <row r="69" customFormat="false" ht="12.75" hidden="false" customHeight="true" outlineLevel="0" collapsed="false">
      <c r="A69" s="1" t="s">
        <v>366</v>
      </c>
      <c r="B69" s="1" t="s">
        <v>367</v>
      </c>
    </row>
    <row r="70" customFormat="false" ht="12.75" hidden="false" customHeight="true" outlineLevel="0" collapsed="false">
      <c r="A70" s="1" t="s">
        <v>368</v>
      </c>
      <c r="B70" s="1" t="s">
        <v>369</v>
      </c>
    </row>
    <row r="71" customFormat="false" ht="12.75" hidden="false" customHeight="true" outlineLevel="0" collapsed="false">
      <c r="A71" s="1" t="s">
        <v>370</v>
      </c>
      <c r="B71" s="1" t="s">
        <v>371</v>
      </c>
    </row>
    <row r="72" customFormat="false" ht="12.75" hidden="false" customHeight="true" outlineLevel="0" collapsed="false">
      <c r="A72" s="1" t="s">
        <v>372</v>
      </c>
      <c r="B72" s="1" t="s">
        <v>373</v>
      </c>
    </row>
    <row r="73" customFormat="false" ht="12.75" hidden="false" customHeight="true" outlineLevel="0" collapsed="false">
      <c r="A73" s="1" t="s">
        <v>374</v>
      </c>
      <c r="B73" s="1" t="s">
        <v>375</v>
      </c>
    </row>
    <row r="74" customFormat="false" ht="12.75" hidden="false" customHeight="true" outlineLevel="0" collapsed="false">
      <c r="A74" s="1" t="s">
        <v>376</v>
      </c>
      <c r="B74" s="1" t="s">
        <v>377</v>
      </c>
    </row>
    <row r="75" customFormat="false" ht="12.75" hidden="false" customHeight="true" outlineLevel="0" collapsed="false">
      <c r="A75" s="1" t="s">
        <v>378</v>
      </c>
      <c r="B75" s="1" t="s">
        <v>379</v>
      </c>
    </row>
    <row r="76" customFormat="false" ht="12.75" hidden="false" customHeight="true" outlineLevel="0" collapsed="false">
      <c r="A76" s="1" t="s">
        <v>380</v>
      </c>
      <c r="B76" s="1" t="s">
        <v>381</v>
      </c>
    </row>
    <row r="77" customFormat="false" ht="12.75" hidden="false" customHeight="true" outlineLevel="0" collapsed="false">
      <c r="A77" s="1" t="s">
        <v>382</v>
      </c>
      <c r="B77" s="1" t="s">
        <v>383</v>
      </c>
    </row>
    <row r="78" customFormat="false" ht="12.75" hidden="false" customHeight="true" outlineLevel="0" collapsed="false">
      <c r="A78" s="1" t="s">
        <v>384</v>
      </c>
      <c r="B78" s="1" t="s">
        <v>385</v>
      </c>
    </row>
    <row r="79" customFormat="false" ht="12.75" hidden="false" customHeight="true" outlineLevel="0" collapsed="false">
      <c r="A79" s="1" t="s">
        <v>386</v>
      </c>
      <c r="B79" s="1" t="s">
        <v>387</v>
      </c>
      <c r="C79" s="1" t="s">
        <v>388</v>
      </c>
    </row>
    <row r="80" customFormat="false" ht="12.75" hidden="false" customHeight="true" outlineLevel="0" collapsed="false">
      <c r="A80" s="1" t="s">
        <v>389</v>
      </c>
      <c r="B80" s="1" t="s">
        <v>390</v>
      </c>
    </row>
    <row r="81" customFormat="false" ht="12.75" hidden="false" customHeight="true" outlineLevel="0" collapsed="false">
      <c r="A81" s="1" t="s">
        <v>391</v>
      </c>
      <c r="B81" s="1" t="s">
        <v>392</v>
      </c>
    </row>
    <row r="82" customFormat="false" ht="12.75" hidden="false" customHeight="true" outlineLevel="0" collapsed="false">
      <c r="A82" s="1" t="s">
        <v>393</v>
      </c>
      <c r="B82" s="1" t="s">
        <v>394</v>
      </c>
    </row>
    <row r="83" customFormat="false" ht="12.75" hidden="false" customHeight="true" outlineLevel="0" collapsed="false">
      <c r="A83" s="1" t="s">
        <v>395</v>
      </c>
      <c r="B83" s="1" t="s">
        <v>396</v>
      </c>
      <c r="C83" s="1" t="s">
        <v>397</v>
      </c>
    </row>
    <row r="84" customFormat="false" ht="12.75" hidden="false" customHeight="true" outlineLevel="0" collapsed="false">
      <c r="A84" s="1" t="s">
        <v>398</v>
      </c>
      <c r="B84" s="1" t="s">
        <v>399</v>
      </c>
      <c r="C84" s="1" t="s">
        <v>400</v>
      </c>
    </row>
    <row r="85" customFormat="false" ht="12.75" hidden="false" customHeight="true" outlineLevel="0" collapsed="false">
      <c r="A85" s="1" t="s">
        <v>401</v>
      </c>
      <c r="B85" s="1" t="s">
        <v>402</v>
      </c>
    </row>
    <row r="86" customFormat="false" ht="12.75" hidden="false" customHeight="true" outlineLevel="0" collapsed="false">
      <c r="A86" s="1" t="s">
        <v>403</v>
      </c>
      <c r="B86" s="1" t="s">
        <v>404</v>
      </c>
    </row>
    <row r="87" customFormat="false" ht="12.75" hidden="false" customHeight="true" outlineLevel="0" collapsed="false">
      <c r="A87" s="1" t="s">
        <v>405</v>
      </c>
      <c r="B87" s="1" t="s">
        <v>406</v>
      </c>
    </row>
    <row r="88" customFormat="false" ht="12.75" hidden="false" customHeight="true" outlineLevel="0" collapsed="false">
      <c r="A88" s="1" t="s">
        <v>407</v>
      </c>
      <c r="B88" s="1" t="s">
        <v>408</v>
      </c>
    </row>
    <row r="89" customFormat="false" ht="12.75" hidden="false" customHeight="true" outlineLevel="0" collapsed="false">
      <c r="A89" s="1" t="s">
        <v>409</v>
      </c>
      <c r="B89" s="1" t="s">
        <v>410</v>
      </c>
    </row>
    <row r="90" customFormat="false" ht="12.75" hidden="false" customHeight="true" outlineLevel="0" collapsed="false">
      <c r="A90" s="1" t="s">
        <v>411</v>
      </c>
      <c r="B90" s="1" t="s">
        <v>412</v>
      </c>
    </row>
    <row r="91" customFormat="false" ht="12.75" hidden="false" customHeight="true" outlineLevel="0" collapsed="false">
      <c r="A91" s="1" t="s">
        <v>413</v>
      </c>
      <c r="B91" s="1" t="s">
        <v>414</v>
      </c>
    </row>
    <row r="92" customFormat="false" ht="12.75" hidden="false" customHeight="true" outlineLevel="0" collapsed="false">
      <c r="A92" s="1" t="s">
        <v>415</v>
      </c>
      <c r="B92" s="1" t="s">
        <v>416</v>
      </c>
    </row>
    <row r="93" customFormat="false" ht="12.75" hidden="false" customHeight="true" outlineLevel="0" collapsed="false">
      <c r="A93" s="1" t="s">
        <v>417</v>
      </c>
      <c r="B93" s="1" t="s">
        <v>418</v>
      </c>
    </row>
    <row r="94" customFormat="false" ht="12.75" hidden="false" customHeight="true" outlineLevel="0" collapsed="false">
      <c r="A94" s="1" t="s">
        <v>419</v>
      </c>
      <c r="B94" s="1" t="s">
        <v>420</v>
      </c>
    </row>
    <row r="95" customFormat="false" ht="12.75" hidden="false" customHeight="true" outlineLevel="0" collapsed="false">
      <c r="A95" s="1" t="s">
        <v>421</v>
      </c>
      <c r="B95" s="1" t="s">
        <v>422</v>
      </c>
    </row>
    <row r="96" customFormat="false" ht="12.75" hidden="false" customHeight="true" outlineLevel="0" collapsed="false">
      <c r="A96" s="1" t="s">
        <v>423</v>
      </c>
      <c r="B96" s="1" t="s">
        <v>424</v>
      </c>
    </row>
    <row r="97" customFormat="false" ht="12.75" hidden="false" customHeight="true" outlineLevel="0" collapsed="false">
      <c r="A97" s="1" t="s">
        <v>425</v>
      </c>
      <c r="B97" s="1" t="s">
        <v>426</v>
      </c>
    </row>
    <row r="98" customFormat="false" ht="12.75" hidden="false" customHeight="true" outlineLevel="0" collapsed="false">
      <c r="A98" s="1" t="s">
        <v>427</v>
      </c>
      <c r="B98" s="1" t="s">
        <v>428</v>
      </c>
    </row>
    <row r="99" customFormat="false" ht="12.75" hidden="false" customHeight="true" outlineLevel="0" collapsed="false">
      <c r="A99" s="1" t="s">
        <v>429</v>
      </c>
      <c r="B99" s="1" t="s">
        <v>430</v>
      </c>
      <c r="C99" s="1" t="s">
        <v>431</v>
      </c>
    </row>
    <row r="100" customFormat="false" ht="12.75" hidden="false" customHeight="true" outlineLevel="0" collapsed="false">
      <c r="A100" s="1" t="s">
        <v>432</v>
      </c>
      <c r="B100" s="1" t="s">
        <v>433</v>
      </c>
    </row>
    <row r="101" customFormat="false" ht="12.75" hidden="false" customHeight="true" outlineLevel="0" collapsed="false">
      <c r="A101" s="1" t="s">
        <v>434</v>
      </c>
      <c r="B101" s="1" t="s">
        <v>435</v>
      </c>
    </row>
    <row r="102" customFormat="false" ht="12.75" hidden="false" customHeight="true" outlineLevel="0" collapsed="false">
      <c r="A102" s="1" t="s">
        <v>436</v>
      </c>
      <c r="B102" s="1" t="s">
        <v>437</v>
      </c>
    </row>
    <row r="103" customFormat="false" ht="12.75" hidden="false" customHeight="true" outlineLevel="0" collapsed="false">
      <c r="A103" s="1" t="s">
        <v>438</v>
      </c>
      <c r="B103" s="1" t="s">
        <v>439</v>
      </c>
    </row>
    <row r="104" customFormat="false" ht="12.75" hidden="false" customHeight="true" outlineLevel="0" collapsed="false">
      <c r="A104" s="1" t="s">
        <v>440</v>
      </c>
      <c r="B104" s="1" t="s">
        <v>441</v>
      </c>
    </row>
    <row r="105" customFormat="false" ht="12.75" hidden="false" customHeight="true" outlineLevel="0" collapsed="false">
      <c r="A105" s="1" t="s">
        <v>442</v>
      </c>
      <c r="B105" s="1" t="s">
        <v>443</v>
      </c>
    </row>
    <row r="106" customFormat="false" ht="12.75" hidden="false" customHeight="true" outlineLevel="0" collapsed="false">
      <c r="A106" s="1" t="s">
        <v>444</v>
      </c>
      <c r="B106" s="1" t="s">
        <v>445</v>
      </c>
    </row>
    <row r="107" customFormat="false" ht="12.75" hidden="false" customHeight="true" outlineLevel="0" collapsed="false">
      <c r="A107" s="1" t="s">
        <v>446</v>
      </c>
      <c r="B107" s="1" t="s">
        <v>447</v>
      </c>
    </row>
    <row r="108" customFormat="false" ht="12.75" hidden="false" customHeight="true" outlineLevel="0" collapsed="false">
      <c r="A108" s="1" t="s">
        <v>448</v>
      </c>
      <c r="B108" s="1" t="s">
        <v>449</v>
      </c>
    </row>
    <row r="109" customFormat="false" ht="12.75" hidden="false" customHeight="true" outlineLevel="0" collapsed="false">
      <c r="A109" s="1" t="s">
        <v>450</v>
      </c>
      <c r="B109" s="1" t="s">
        <v>451</v>
      </c>
    </row>
    <row r="110" customFormat="false" ht="12.75" hidden="false" customHeight="true" outlineLevel="0" collapsed="false">
      <c r="A110" s="1" t="s">
        <v>452</v>
      </c>
      <c r="B110" s="1" t="s">
        <v>453</v>
      </c>
    </row>
    <row r="111" customFormat="false" ht="12.75" hidden="false" customHeight="true" outlineLevel="0" collapsed="false">
      <c r="A111" s="1" t="s">
        <v>454</v>
      </c>
      <c r="B111" s="1" t="s">
        <v>455</v>
      </c>
    </row>
    <row r="112" customFormat="false" ht="12.75" hidden="false" customHeight="true" outlineLevel="0" collapsed="false">
      <c r="A112" s="1" t="s">
        <v>456</v>
      </c>
      <c r="B112" s="1" t="s">
        <v>457</v>
      </c>
    </row>
    <row r="113" customFormat="false" ht="12.75" hidden="false" customHeight="true" outlineLevel="0" collapsed="false">
      <c r="A113" s="1" t="s">
        <v>458</v>
      </c>
      <c r="B113" s="1" t="s">
        <v>459</v>
      </c>
    </row>
    <row r="114" customFormat="false" ht="12.75" hidden="false" customHeight="true" outlineLevel="0" collapsed="false">
      <c r="A114" s="1" t="s">
        <v>460</v>
      </c>
      <c r="B114" s="1" t="s">
        <v>461</v>
      </c>
    </row>
    <row r="115" customFormat="false" ht="12.75" hidden="false" customHeight="true" outlineLevel="0" collapsed="false">
      <c r="A115" s="1" t="s">
        <v>462</v>
      </c>
      <c r="B115" s="1" t="s">
        <v>463</v>
      </c>
    </row>
    <row r="116" customFormat="false" ht="12.75" hidden="false" customHeight="true" outlineLevel="0" collapsed="false">
      <c r="A116" s="1" t="s">
        <v>464</v>
      </c>
      <c r="B116" s="1" t="s">
        <v>465</v>
      </c>
      <c r="C116" s="1" t="s">
        <v>466</v>
      </c>
    </row>
    <row r="117" customFormat="false" ht="12.75" hidden="false" customHeight="true" outlineLevel="0" collapsed="false">
      <c r="A117" s="1" t="s">
        <v>467</v>
      </c>
      <c r="B117" s="1" t="s">
        <v>468</v>
      </c>
    </row>
    <row r="118" customFormat="false" ht="12.75" hidden="false" customHeight="true" outlineLevel="0" collapsed="false">
      <c r="A118" s="1" t="s">
        <v>469</v>
      </c>
      <c r="B118" s="1" t="s">
        <v>470</v>
      </c>
    </row>
    <row r="119" customFormat="false" ht="12.75" hidden="false" customHeight="true" outlineLevel="0" collapsed="false">
      <c r="A119" s="1" t="s">
        <v>471</v>
      </c>
      <c r="B119" s="1" t="s">
        <v>472</v>
      </c>
    </row>
    <row r="120" customFormat="false" ht="12.75" hidden="false" customHeight="true" outlineLevel="0" collapsed="false">
      <c r="A120" s="1" t="s">
        <v>473</v>
      </c>
      <c r="B120" s="1" t="s">
        <v>474</v>
      </c>
    </row>
    <row r="121" customFormat="false" ht="12.75" hidden="false" customHeight="true" outlineLevel="0" collapsed="false">
      <c r="A121" s="1" t="s">
        <v>475</v>
      </c>
      <c r="B121" s="1" t="s">
        <v>476</v>
      </c>
    </row>
    <row r="122" customFormat="false" ht="12.75" hidden="false" customHeight="true" outlineLevel="0" collapsed="false">
      <c r="A122" s="1" t="s">
        <v>477</v>
      </c>
      <c r="B122" s="1" t="s">
        <v>478</v>
      </c>
    </row>
    <row r="123" customFormat="false" ht="12.75" hidden="false" customHeight="true" outlineLevel="0" collapsed="false">
      <c r="A123" s="1" t="s">
        <v>479</v>
      </c>
      <c r="B123" s="1" t="s">
        <v>480</v>
      </c>
    </row>
    <row r="124" customFormat="false" ht="12.75" hidden="false" customHeight="true" outlineLevel="0" collapsed="false">
      <c r="A124" s="1" t="s">
        <v>481</v>
      </c>
      <c r="B124" s="1" t="s">
        <v>482</v>
      </c>
    </row>
    <row r="125" customFormat="false" ht="12.75" hidden="false" customHeight="true" outlineLevel="0" collapsed="false">
      <c r="A125" s="1" t="s">
        <v>483</v>
      </c>
      <c r="B125" s="1" t="s">
        <v>484</v>
      </c>
    </row>
    <row r="126" customFormat="false" ht="12.75" hidden="false" customHeight="true" outlineLevel="0" collapsed="false">
      <c r="A126" s="1" t="s">
        <v>485</v>
      </c>
      <c r="B126" s="1" t="s">
        <v>486</v>
      </c>
    </row>
    <row r="127" customFormat="false" ht="12.75" hidden="false" customHeight="true" outlineLevel="0" collapsed="false">
      <c r="A127" s="1" t="s">
        <v>487</v>
      </c>
      <c r="B127" s="1" t="s">
        <v>488</v>
      </c>
    </row>
    <row r="128" customFormat="false" ht="12.75" hidden="false" customHeight="true" outlineLevel="0" collapsed="false">
      <c r="A128" s="1" t="s">
        <v>489</v>
      </c>
      <c r="B128" s="1" t="s">
        <v>490</v>
      </c>
    </row>
    <row r="129" customFormat="false" ht="12.75" hidden="false" customHeight="true" outlineLevel="0" collapsed="false">
      <c r="A129" s="1" t="s">
        <v>491</v>
      </c>
      <c r="B129" s="1" t="s">
        <v>492</v>
      </c>
    </row>
    <row r="130" customFormat="false" ht="12.75" hidden="false" customHeight="true" outlineLevel="0" collapsed="false">
      <c r="A130" s="1" t="s">
        <v>493</v>
      </c>
      <c r="B130" s="1" t="s">
        <v>494</v>
      </c>
    </row>
    <row r="131" customFormat="false" ht="12.75" hidden="false" customHeight="true" outlineLevel="0" collapsed="false">
      <c r="A131" s="1" t="s">
        <v>495</v>
      </c>
      <c r="B131" s="1" t="s">
        <v>496</v>
      </c>
    </row>
    <row r="132" customFormat="false" ht="12.75" hidden="false" customHeight="true" outlineLevel="0" collapsed="false">
      <c r="A132" s="1" t="s">
        <v>497</v>
      </c>
      <c r="B132" s="1" t="s">
        <v>498</v>
      </c>
      <c r="C132" s="1" t="s">
        <v>499</v>
      </c>
    </row>
    <row r="133" customFormat="false" ht="12.75" hidden="false" customHeight="true" outlineLevel="0" collapsed="false">
      <c r="A133" s="1" t="s">
        <v>500</v>
      </c>
      <c r="B133" s="1" t="s">
        <v>501</v>
      </c>
    </row>
    <row r="134" customFormat="false" ht="12.75" hidden="false" customHeight="true" outlineLevel="0" collapsed="false">
      <c r="A134" s="1" t="s">
        <v>502</v>
      </c>
      <c r="B134" s="1" t="s">
        <v>503</v>
      </c>
    </row>
    <row r="135" customFormat="false" ht="12.75" hidden="false" customHeight="true" outlineLevel="0" collapsed="false">
      <c r="A135" s="1" t="s">
        <v>504</v>
      </c>
      <c r="B135" s="1" t="s">
        <v>505</v>
      </c>
    </row>
    <row r="136" customFormat="false" ht="12.75" hidden="false" customHeight="true" outlineLevel="0" collapsed="false">
      <c r="A136" s="1" t="s">
        <v>506</v>
      </c>
      <c r="B136" s="1" t="s">
        <v>507</v>
      </c>
    </row>
    <row r="137" customFormat="false" ht="12.75" hidden="false" customHeight="true" outlineLevel="0" collapsed="false">
      <c r="A137" s="1" t="s">
        <v>508</v>
      </c>
      <c r="B137" s="1" t="s">
        <v>509</v>
      </c>
    </row>
    <row r="138" customFormat="false" ht="12.75" hidden="false" customHeight="true" outlineLevel="0" collapsed="false">
      <c r="A138" s="1" t="s">
        <v>510</v>
      </c>
      <c r="B138" s="1" t="s">
        <v>511</v>
      </c>
    </row>
    <row r="139" customFormat="false" ht="12.75" hidden="false" customHeight="true" outlineLevel="0" collapsed="false">
      <c r="A139" s="1" t="s">
        <v>512</v>
      </c>
      <c r="B139" s="1" t="s">
        <v>513</v>
      </c>
    </row>
    <row r="140" customFormat="false" ht="12.75" hidden="false" customHeight="true" outlineLevel="0" collapsed="false">
      <c r="A140" s="1" t="s">
        <v>514</v>
      </c>
      <c r="B140" s="1" t="s">
        <v>515</v>
      </c>
    </row>
    <row r="141" customFormat="false" ht="12.75" hidden="false" customHeight="true" outlineLevel="0" collapsed="false">
      <c r="A141" s="1" t="s">
        <v>516</v>
      </c>
      <c r="B141" s="1" t="s">
        <v>517</v>
      </c>
    </row>
    <row r="142" customFormat="false" ht="12.75" hidden="false" customHeight="true" outlineLevel="0" collapsed="false">
      <c r="A142" s="1" t="s">
        <v>518</v>
      </c>
      <c r="B142" s="1" t="s">
        <v>519</v>
      </c>
    </row>
    <row r="143" customFormat="false" ht="12.75" hidden="false" customHeight="true" outlineLevel="0" collapsed="false">
      <c r="A143" s="1" t="s">
        <v>520</v>
      </c>
      <c r="B143" s="1" t="s">
        <v>521</v>
      </c>
    </row>
    <row r="144" customFormat="false" ht="12.75" hidden="false" customHeight="true" outlineLevel="0" collapsed="false">
      <c r="A144" s="1" t="s">
        <v>522</v>
      </c>
      <c r="B144" s="1" t="s">
        <v>523</v>
      </c>
    </row>
    <row r="145" customFormat="false" ht="12.75" hidden="false" customHeight="true" outlineLevel="0" collapsed="false">
      <c r="A145" s="1" t="s">
        <v>524</v>
      </c>
      <c r="B145" s="1" t="s">
        <v>525</v>
      </c>
    </row>
    <row r="146" customFormat="false" ht="12.75" hidden="false" customHeight="true" outlineLevel="0" collapsed="false">
      <c r="A146" s="1" t="s">
        <v>526</v>
      </c>
      <c r="B146" s="1" t="s">
        <v>527</v>
      </c>
    </row>
    <row r="147" customFormat="false" ht="12.75" hidden="false" customHeight="true" outlineLevel="0" collapsed="false">
      <c r="A147" s="1" t="s">
        <v>528</v>
      </c>
      <c r="B147" s="1" t="s">
        <v>529</v>
      </c>
    </row>
    <row r="148" customFormat="false" ht="12.75" hidden="false" customHeight="true" outlineLevel="0" collapsed="false">
      <c r="A148" s="1" t="s">
        <v>530</v>
      </c>
      <c r="B148" s="1" t="s">
        <v>531</v>
      </c>
    </row>
    <row r="149" customFormat="false" ht="12.75" hidden="false" customHeight="true" outlineLevel="0" collapsed="false">
      <c r="A149" s="1" t="s">
        <v>532</v>
      </c>
      <c r="B149" s="1" t="s">
        <v>533</v>
      </c>
    </row>
    <row r="150" customFormat="false" ht="12.75" hidden="false" customHeight="true" outlineLevel="0" collapsed="false">
      <c r="A150" s="1" t="s">
        <v>534</v>
      </c>
      <c r="B150" s="1" t="s">
        <v>535</v>
      </c>
      <c r="C150" s="40"/>
    </row>
    <row r="151" customFormat="false" ht="12.75" hidden="false" customHeight="true" outlineLevel="0" collapsed="false">
      <c r="A151" s="1" t="s">
        <v>536</v>
      </c>
      <c r="B151" s="1" t="s">
        <v>537</v>
      </c>
    </row>
    <row r="152" customFormat="false" ht="12.75" hidden="false" customHeight="true" outlineLevel="0" collapsed="false">
      <c r="A152" s="1" t="s">
        <v>538</v>
      </c>
      <c r="B152" s="1" t="s">
        <v>539</v>
      </c>
    </row>
    <row r="153" customFormat="false" ht="12.75" hidden="false" customHeight="true" outlineLevel="0" collapsed="false">
      <c r="A153" s="1" t="s">
        <v>540</v>
      </c>
      <c r="B153" s="1" t="s">
        <v>541</v>
      </c>
    </row>
    <row r="154" customFormat="false" ht="12.75" hidden="false" customHeight="true" outlineLevel="0" collapsed="false">
      <c r="A154" s="1" t="s">
        <v>542</v>
      </c>
      <c r="B154" s="1" t="s">
        <v>543</v>
      </c>
      <c r="C154" s="1" t="s">
        <v>544</v>
      </c>
    </row>
    <row r="155" customFormat="false" ht="12.75" hidden="false" customHeight="true" outlineLevel="0" collapsed="false">
      <c r="A155" s="1" t="s">
        <v>545</v>
      </c>
      <c r="B155" s="1" t="s">
        <v>546</v>
      </c>
    </row>
    <row r="156" customFormat="false" ht="12.75" hidden="false" customHeight="true" outlineLevel="0" collapsed="false">
      <c r="A156" s="1" t="s">
        <v>547</v>
      </c>
      <c r="B156" s="1" t="s">
        <v>548</v>
      </c>
    </row>
    <row r="157" customFormat="false" ht="12.75" hidden="false" customHeight="true" outlineLevel="0" collapsed="false">
      <c r="A157" s="1" t="s">
        <v>549</v>
      </c>
      <c r="B157" s="1" t="s">
        <v>550</v>
      </c>
    </row>
    <row r="158" customFormat="false" ht="12.75" hidden="false" customHeight="true" outlineLevel="0" collapsed="false">
      <c r="A158" s="1" t="s">
        <v>551</v>
      </c>
      <c r="B158" s="1" t="s">
        <v>552</v>
      </c>
    </row>
    <row r="159" customFormat="false" ht="12.75" hidden="false" customHeight="true" outlineLevel="0" collapsed="false">
      <c r="A159" s="1" t="s">
        <v>553</v>
      </c>
      <c r="B159" s="1" t="s">
        <v>554</v>
      </c>
    </row>
    <row r="160" customFormat="false" ht="12.75" hidden="false" customHeight="true" outlineLevel="0" collapsed="false">
      <c r="A160" s="1" t="s">
        <v>555</v>
      </c>
      <c r="B160" s="1" t="s">
        <v>556</v>
      </c>
    </row>
    <row r="161" customFormat="false" ht="12.75" hidden="false" customHeight="true" outlineLevel="0" collapsed="false">
      <c r="A161" s="1" t="s">
        <v>557</v>
      </c>
      <c r="B161" s="1" t="s">
        <v>558</v>
      </c>
    </row>
    <row r="162" customFormat="false" ht="12.75" hidden="false" customHeight="true" outlineLevel="0" collapsed="false">
      <c r="A162" s="1" t="s">
        <v>559</v>
      </c>
      <c r="B162" s="1" t="s">
        <v>560</v>
      </c>
    </row>
    <row r="163" customFormat="false" ht="12.75" hidden="false" customHeight="true" outlineLevel="0" collapsed="false">
      <c r="A163" s="1" t="s">
        <v>561</v>
      </c>
      <c r="B163" s="1" t="s">
        <v>562</v>
      </c>
    </row>
    <row r="164" customFormat="false" ht="12.75" hidden="false" customHeight="true" outlineLevel="0" collapsed="false">
      <c r="A164" s="1" t="s">
        <v>563</v>
      </c>
      <c r="B164" s="1" t="s">
        <v>564</v>
      </c>
    </row>
    <row r="165" customFormat="false" ht="12.75" hidden="false" customHeight="true" outlineLevel="0" collapsed="false">
      <c r="A165" s="1" t="s">
        <v>565</v>
      </c>
      <c r="B165" s="1" t="s">
        <v>566</v>
      </c>
    </row>
    <row r="166" customFormat="false" ht="12.75" hidden="false" customHeight="true" outlineLevel="0" collapsed="false">
      <c r="A166" s="1" t="s">
        <v>567</v>
      </c>
      <c r="B166" s="1" t="s">
        <v>568</v>
      </c>
    </row>
    <row r="167" customFormat="false" ht="12.75" hidden="false" customHeight="true" outlineLevel="0" collapsed="false">
      <c r="A167" s="1" t="s">
        <v>569</v>
      </c>
      <c r="B167" s="1" t="s">
        <v>570</v>
      </c>
    </row>
    <row r="168" customFormat="false" ht="12.75" hidden="false" customHeight="true" outlineLevel="0" collapsed="false">
      <c r="A168" s="1" t="s">
        <v>571</v>
      </c>
      <c r="B168" s="1" t="s">
        <v>572</v>
      </c>
    </row>
    <row r="169" customFormat="false" ht="12.75" hidden="false" customHeight="true" outlineLevel="0" collapsed="false">
      <c r="A169" s="1" t="s">
        <v>573</v>
      </c>
      <c r="B169" s="1" t="s">
        <v>574</v>
      </c>
    </row>
    <row r="170" customFormat="false" ht="12.75" hidden="false" customHeight="true" outlineLevel="0" collapsed="false">
      <c r="A170" s="1" t="s">
        <v>575</v>
      </c>
      <c r="B170" s="1" t="s">
        <v>576</v>
      </c>
    </row>
    <row r="171" customFormat="false" ht="12.75" hidden="false" customHeight="true" outlineLevel="0" collapsed="false">
      <c r="A171" s="1" t="s">
        <v>577</v>
      </c>
      <c r="B171" s="1" t="s">
        <v>578</v>
      </c>
      <c r="C171" s="40"/>
    </row>
    <row r="172" customFormat="false" ht="12.75" hidden="false" customHeight="true" outlineLevel="0" collapsed="false">
      <c r="A172" s="1" t="s">
        <v>579</v>
      </c>
      <c r="B172" s="1" t="s">
        <v>580</v>
      </c>
    </row>
    <row r="173" customFormat="false" ht="12.75" hidden="false" customHeight="true" outlineLevel="0" collapsed="false">
      <c r="A173" s="1" t="s">
        <v>581</v>
      </c>
      <c r="B173" s="1" t="s">
        <v>582</v>
      </c>
    </row>
    <row r="174" customFormat="false" ht="12.75" hidden="false" customHeight="true" outlineLevel="0" collapsed="false">
      <c r="A174" s="1" t="s">
        <v>583</v>
      </c>
      <c r="B174" s="1" t="s">
        <v>584</v>
      </c>
    </row>
    <row r="175" customFormat="false" ht="12.75" hidden="false" customHeight="true" outlineLevel="0" collapsed="false">
      <c r="A175" s="1" t="s">
        <v>585</v>
      </c>
      <c r="B175" s="1" t="s">
        <v>586</v>
      </c>
    </row>
    <row r="176" customFormat="false" ht="12.75" hidden="false" customHeight="true" outlineLevel="0" collapsed="false">
      <c r="A176" s="1" t="s">
        <v>587</v>
      </c>
      <c r="B176" s="1" t="s">
        <v>588</v>
      </c>
    </row>
    <row r="177" customFormat="false" ht="12.75" hidden="false" customHeight="true" outlineLevel="0" collapsed="false">
      <c r="A177" s="1" t="s">
        <v>589</v>
      </c>
      <c r="B177" s="1" t="s">
        <v>590</v>
      </c>
    </row>
    <row r="178" customFormat="false" ht="12.75" hidden="false" customHeight="true" outlineLevel="0" collapsed="false">
      <c r="A178" s="1" t="s">
        <v>591</v>
      </c>
      <c r="B178" s="1" t="s">
        <v>592</v>
      </c>
    </row>
    <row r="179" customFormat="false" ht="12.75" hidden="false" customHeight="true" outlineLevel="0" collapsed="false">
      <c r="A179" s="1" t="s">
        <v>593</v>
      </c>
      <c r="B179" s="1" t="s">
        <v>594</v>
      </c>
    </row>
    <row r="180" customFormat="false" ht="12.75" hidden="false" customHeight="true" outlineLevel="0" collapsed="false">
      <c r="A180" s="1" t="s">
        <v>595</v>
      </c>
      <c r="B180" s="1" t="s">
        <v>596</v>
      </c>
    </row>
    <row r="181" customFormat="false" ht="12.75" hidden="false" customHeight="true" outlineLevel="0" collapsed="false">
      <c r="A181" s="1" t="s">
        <v>597</v>
      </c>
      <c r="B181" s="1" t="s">
        <v>598</v>
      </c>
    </row>
    <row r="182" customFormat="false" ht="12.75" hidden="false" customHeight="true" outlineLevel="0" collapsed="false">
      <c r="A182" s="1" t="s">
        <v>599</v>
      </c>
      <c r="B182" s="1" t="s">
        <v>600</v>
      </c>
    </row>
    <row r="183" customFormat="false" ht="12.75" hidden="false" customHeight="true" outlineLevel="0" collapsed="false">
      <c r="A183" s="1" t="s">
        <v>601</v>
      </c>
      <c r="B183" s="1" t="s">
        <v>602</v>
      </c>
    </row>
    <row r="184" customFormat="false" ht="12.75" hidden="false" customHeight="true" outlineLevel="0" collapsed="false">
      <c r="A184" s="1" t="s">
        <v>603</v>
      </c>
      <c r="B184" s="1" t="s">
        <v>604</v>
      </c>
    </row>
    <row r="185" customFormat="false" ht="12.75" hidden="false" customHeight="true" outlineLevel="0" collapsed="false">
      <c r="A185" s="1" t="s">
        <v>605</v>
      </c>
      <c r="B185" s="1" t="s">
        <v>606</v>
      </c>
    </row>
    <row r="186" customFormat="false" ht="12.75" hidden="false" customHeight="true" outlineLevel="0" collapsed="false">
      <c r="A186" s="1" t="s">
        <v>607</v>
      </c>
      <c r="B186" s="1" t="s">
        <v>608</v>
      </c>
    </row>
    <row r="187" customFormat="false" ht="12.75" hidden="false" customHeight="true" outlineLevel="0" collapsed="false">
      <c r="A187" s="1" t="s">
        <v>609</v>
      </c>
      <c r="B187" s="1" t="s">
        <v>610</v>
      </c>
      <c r="C187" s="1" t="s">
        <v>611</v>
      </c>
    </row>
    <row r="188" customFormat="false" ht="12.75" hidden="false" customHeight="true" outlineLevel="0" collapsed="false">
      <c r="A188" s="1" t="s">
        <v>612</v>
      </c>
      <c r="B188" s="1" t="s">
        <v>613</v>
      </c>
      <c r="C188" s="1" t="s">
        <v>614</v>
      </c>
    </row>
    <row r="189" customFormat="false" ht="12.75" hidden="false" customHeight="true" outlineLevel="0" collapsed="false">
      <c r="A189" s="1" t="s">
        <v>615</v>
      </c>
      <c r="B189" s="1" t="s">
        <v>616</v>
      </c>
    </row>
    <row r="190" customFormat="false" ht="12.75" hidden="false" customHeight="true" outlineLevel="0" collapsed="false">
      <c r="A190" s="1" t="s">
        <v>617</v>
      </c>
      <c r="B190" s="1" t="s">
        <v>618</v>
      </c>
      <c r="C190" s="1" t="s">
        <v>619</v>
      </c>
    </row>
    <row r="191" customFormat="false" ht="12.75" hidden="false" customHeight="true" outlineLevel="0" collapsed="false">
      <c r="A191" s="1" t="s">
        <v>620</v>
      </c>
      <c r="B191" s="1" t="s">
        <v>621</v>
      </c>
    </row>
    <row r="192" customFormat="false" ht="12.75" hidden="false" customHeight="true" outlineLevel="0" collapsed="false">
      <c r="A192" s="1" t="s">
        <v>622</v>
      </c>
      <c r="B192" s="1" t="s">
        <v>623</v>
      </c>
    </row>
    <row r="193" customFormat="false" ht="12.75" hidden="false" customHeight="true" outlineLevel="0" collapsed="false">
      <c r="A193" s="1" t="s">
        <v>624</v>
      </c>
      <c r="B193" s="1" t="s">
        <v>625</v>
      </c>
    </row>
    <row r="194" customFormat="false" ht="12.75" hidden="false" customHeight="true" outlineLevel="0" collapsed="false">
      <c r="A194" s="1" t="s">
        <v>626</v>
      </c>
      <c r="B194" s="1" t="s">
        <v>627</v>
      </c>
    </row>
    <row r="195" customFormat="false" ht="12.75" hidden="false" customHeight="true" outlineLevel="0" collapsed="false">
      <c r="A195" s="1" t="s">
        <v>628</v>
      </c>
      <c r="B195" s="1" t="s">
        <v>629</v>
      </c>
    </row>
    <row r="196" customFormat="false" ht="12.75" hidden="false" customHeight="true" outlineLevel="0" collapsed="false">
      <c r="A196" s="1" t="s">
        <v>630</v>
      </c>
      <c r="B196" s="1" t="s">
        <v>631</v>
      </c>
    </row>
    <row r="197" customFormat="false" ht="12.75" hidden="false" customHeight="true" outlineLevel="0" collapsed="false">
      <c r="A197" s="1" t="s">
        <v>632</v>
      </c>
      <c r="B197" s="1" t="s">
        <v>633</v>
      </c>
    </row>
    <row r="198" customFormat="false" ht="12.75" hidden="false" customHeight="true" outlineLevel="0" collapsed="false">
      <c r="A198" s="1" t="s">
        <v>634</v>
      </c>
      <c r="B198" s="1" t="s">
        <v>635</v>
      </c>
      <c r="C198" s="40"/>
    </row>
    <row r="199" customFormat="false" ht="12.75" hidden="false" customHeight="true" outlineLevel="0" collapsed="false">
      <c r="A199" s="1" t="s">
        <v>636</v>
      </c>
      <c r="B199" s="1" t="s">
        <v>637</v>
      </c>
    </row>
    <row r="200" customFormat="false" ht="12.75" hidden="false" customHeight="true" outlineLevel="0" collapsed="false">
      <c r="A200" s="1" t="s">
        <v>638</v>
      </c>
      <c r="B200" s="1" t="s">
        <v>639</v>
      </c>
    </row>
    <row r="201" customFormat="false" ht="12.75" hidden="false" customHeight="true" outlineLevel="0" collapsed="false">
      <c r="A201" s="1" t="s">
        <v>640</v>
      </c>
      <c r="B201" s="1" t="s">
        <v>641</v>
      </c>
    </row>
    <row r="202" customFormat="false" ht="12.75" hidden="false" customHeight="true" outlineLevel="0" collapsed="false">
      <c r="A202" s="1" t="s">
        <v>642</v>
      </c>
      <c r="B202" s="1" t="s">
        <v>643</v>
      </c>
      <c r="C202" s="1" t="s">
        <v>644</v>
      </c>
    </row>
    <row r="203" customFormat="false" ht="12.75" hidden="false" customHeight="true" outlineLevel="0" collapsed="false">
      <c r="A203" s="1" t="s">
        <v>645</v>
      </c>
      <c r="B203" s="1" t="s">
        <v>646</v>
      </c>
      <c r="C203" s="1" t="s">
        <v>647</v>
      </c>
    </row>
    <row r="204" customFormat="false" ht="12.75" hidden="false" customHeight="true" outlineLevel="0" collapsed="false">
      <c r="A204" s="1" t="s">
        <v>648</v>
      </c>
      <c r="B204" s="1" t="s">
        <v>649</v>
      </c>
    </row>
    <row r="205" customFormat="false" ht="12.75" hidden="false" customHeight="true" outlineLevel="0" collapsed="false">
      <c r="A205" s="1" t="s">
        <v>650</v>
      </c>
      <c r="B205" s="1" t="s">
        <v>651</v>
      </c>
    </row>
    <row r="206" customFormat="false" ht="12.75" hidden="false" customHeight="true" outlineLevel="0" collapsed="false">
      <c r="A206" s="1" t="s">
        <v>652</v>
      </c>
      <c r="B206" s="1" t="s">
        <v>653</v>
      </c>
    </row>
    <row r="207" customFormat="false" ht="12.75" hidden="false" customHeight="true" outlineLevel="0" collapsed="false">
      <c r="A207" s="1" t="s">
        <v>654</v>
      </c>
      <c r="B207" s="1" t="s">
        <v>655</v>
      </c>
      <c r="C207" s="1" t="s">
        <v>656</v>
      </c>
    </row>
    <row r="208" customFormat="false" ht="12.75" hidden="false" customHeight="true" outlineLevel="0" collapsed="false">
      <c r="A208" s="1" t="s">
        <v>657</v>
      </c>
      <c r="B208" s="1" t="s">
        <v>658</v>
      </c>
    </row>
    <row r="209" customFormat="false" ht="12.75" hidden="false" customHeight="true" outlineLevel="0" collapsed="false">
      <c r="A209" s="1" t="s">
        <v>659</v>
      </c>
      <c r="B209" s="1" t="s">
        <v>660</v>
      </c>
    </row>
    <row r="210" customFormat="false" ht="12.75" hidden="false" customHeight="true" outlineLevel="0" collapsed="false">
      <c r="A210" s="1" t="s">
        <v>661</v>
      </c>
      <c r="B210" s="1" t="s">
        <v>662</v>
      </c>
      <c r="C210" s="1" t="s">
        <v>663</v>
      </c>
    </row>
    <row r="211" customFormat="false" ht="12.75" hidden="false" customHeight="true" outlineLevel="0" collapsed="false">
      <c r="A211" s="1" t="s">
        <v>664</v>
      </c>
      <c r="B211" s="1" t="s">
        <v>665</v>
      </c>
    </row>
    <row r="212" customFormat="false" ht="12.75" hidden="false" customHeight="true" outlineLevel="0" collapsed="false">
      <c r="A212" s="1" t="s">
        <v>666</v>
      </c>
      <c r="B212" s="1" t="s">
        <v>667</v>
      </c>
    </row>
    <row r="213" customFormat="false" ht="12.75" hidden="false" customHeight="true" outlineLevel="0" collapsed="false">
      <c r="A213" s="1" t="s">
        <v>668</v>
      </c>
      <c r="B213" s="1" t="s">
        <v>669</v>
      </c>
    </row>
    <row r="214" customFormat="false" ht="12.75" hidden="false" customHeight="true" outlineLevel="0" collapsed="false">
      <c r="A214" s="1" t="s">
        <v>670</v>
      </c>
      <c r="B214" s="1" t="s">
        <v>671</v>
      </c>
      <c r="C214" s="40"/>
    </row>
    <row r="215" customFormat="false" ht="12.75" hidden="false" customHeight="true" outlineLevel="0" collapsed="false">
      <c r="A215" s="1" t="s">
        <v>672</v>
      </c>
      <c r="B215" s="1" t="s">
        <v>673</v>
      </c>
    </row>
    <row r="216" customFormat="false" ht="12.75" hidden="false" customHeight="true" outlineLevel="0" collapsed="false">
      <c r="A216" s="1" t="s">
        <v>674</v>
      </c>
      <c r="B216" s="1" t="s">
        <v>675</v>
      </c>
    </row>
    <row r="217" customFormat="false" ht="12.75" hidden="false" customHeight="true" outlineLevel="0" collapsed="false">
      <c r="A217" s="1" t="s">
        <v>676</v>
      </c>
      <c r="B217" s="1" t="s">
        <v>677</v>
      </c>
      <c r="C217" s="1" t="s">
        <v>678</v>
      </c>
    </row>
    <row r="218" customFormat="false" ht="12.75" hidden="false" customHeight="true" outlineLevel="0" collapsed="false">
      <c r="A218" s="1" t="s">
        <v>679</v>
      </c>
      <c r="B218" s="1" t="s">
        <v>680</v>
      </c>
    </row>
    <row r="219" customFormat="false" ht="12.75" hidden="false" customHeight="true" outlineLevel="0" collapsed="false">
      <c r="A219" s="1" t="s">
        <v>681</v>
      </c>
      <c r="B219" s="1" t="s">
        <v>682</v>
      </c>
    </row>
    <row r="220" customFormat="false" ht="12.75" hidden="false" customHeight="true" outlineLevel="0" collapsed="false">
      <c r="A220" s="1" t="s">
        <v>683</v>
      </c>
      <c r="B220" s="1" t="s">
        <v>684</v>
      </c>
    </row>
    <row r="221" customFormat="false" ht="12.75" hidden="false" customHeight="true" outlineLevel="0" collapsed="false">
      <c r="A221" s="1" t="s">
        <v>685</v>
      </c>
      <c r="B221" s="1" t="s">
        <v>686</v>
      </c>
    </row>
    <row r="222" customFormat="false" ht="12.75" hidden="false" customHeight="true" outlineLevel="0" collapsed="false">
      <c r="A222" s="1" t="s">
        <v>687</v>
      </c>
      <c r="B222" s="1" t="s">
        <v>688</v>
      </c>
    </row>
    <row r="223" customFormat="false" ht="12.75" hidden="false" customHeight="true" outlineLevel="0" collapsed="false">
      <c r="A223" s="1" t="s">
        <v>689</v>
      </c>
      <c r="B223" s="1" t="s">
        <v>690</v>
      </c>
      <c r="C223" s="1" t="s">
        <v>691</v>
      </c>
    </row>
    <row r="224" customFormat="false" ht="12.75" hidden="false" customHeight="true" outlineLevel="0" collapsed="false">
      <c r="A224" s="1" t="s">
        <v>692</v>
      </c>
      <c r="B224" s="1" t="s">
        <v>693</v>
      </c>
    </row>
    <row r="225" customFormat="false" ht="12.75" hidden="false" customHeight="true" outlineLevel="0" collapsed="false">
      <c r="A225" s="1" t="s">
        <v>694</v>
      </c>
      <c r="B225" s="1" t="s">
        <v>695</v>
      </c>
    </row>
    <row r="226" customFormat="false" ht="12.75" hidden="false" customHeight="true" outlineLevel="0" collapsed="false">
      <c r="A226" s="1" t="s">
        <v>696</v>
      </c>
      <c r="B226" s="1" t="s">
        <v>697</v>
      </c>
    </row>
    <row r="227" customFormat="false" ht="12.75" hidden="false" customHeight="true" outlineLevel="0" collapsed="false">
      <c r="A227" s="1" t="s">
        <v>698</v>
      </c>
      <c r="B227" s="1" t="s">
        <v>699</v>
      </c>
    </row>
    <row r="228" customFormat="false" ht="12.75" hidden="false" customHeight="true" outlineLevel="0" collapsed="false">
      <c r="A228" s="1" t="s">
        <v>700</v>
      </c>
      <c r="B228" s="1" t="s">
        <v>701</v>
      </c>
    </row>
    <row r="229" customFormat="false" ht="12.75" hidden="false" customHeight="true" outlineLevel="0" collapsed="false">
      <c r="A229" s="1" t="s">
        <v>702</v>
      </c>
      <c r="B229" s="1" t="s">
        <v>703</v>
      </c>
    </row>
    <row r="230" customFormat="false" ht="12.75" hidden="false" customHeight="true" outlineLevel="0" collapsed="false">
      <c r="A230" s="1" t="s">
        <v>704</v>
      </c>
      <c r="B230" s="1" t="s">
        <v>705</v>
      </c>
    </row>
    <row r="231" customFormat="false" ht="12.75" hidden="false" customHeight="true" outlineLevel="0" collapsed="false">
      <c r="A231" s="1" t="s">
        <v>706</v>
      </c>
      <c r="B231" s="1" t="s">
        <v>707</v>
      </c>
    </row>
    <row r="232" customFormat="false" ht="12.75" hidden="false" customHeight="true" outlineLevel="0" collapsed="false">
      <c r="A232" s="1" t="s">
        <v>708</v>
      </c>
      <c r="B232" s="1" t="s">
        <v>709</v>
      </c>
    </row>
    <row r="233" customFormat="false" ht="12.75" hidden="false" customHeight="true" outlineLevel="0" collapsed="false">
      <c r="A233" s="1" t="s">
        <v>64</v>
      </c>
      <c r="B233" s="1" t="s">
        <v>710</v>
      </c>
    </row>
    <row r="234" customFormat="false" ht="12.75" hidden="false" customHeight="true" outlineLevel="0" collapsed="false">
      <c r="A234" s="1" t="s">
        <v>711</v>
      </c>
      <c r="B234" s="1" t="s">
        <v>712</v>
      </c>
      <c r="C234" s="1" t="s">
        <v>713</v>
      </c>
    </row>
    <row r="235" customFormat="false" ht="12.75" hidden="false" customHeight="true" outlineLevel="0" collapsed="false">
      <c r="A235" s="1" t="s">
        <v>714</v>
      </c>
      <c r="B235" s="1" t="s">
        <v>715</v>
      </c>
    </row>
    <row r="236" customFormat="false" ht="12.75" hidden="false" customHeight="true" outlineLevel="0" collapsed="false">
      <c r="A236" s="1" t="s">
        <v>716</v>
      </c>
      <c r="B236" s="1" t="s">
        <v>717</v>
      </c>
      <c r="C236" s="1" t="s">
        <v>718</v>
      </c>
    </row>
    <row r="237" customFormat="false" ht="12.75" hidden="false" customHeight="true" outlineLevel="0" collapsed="false">
      <c r="A237" s="1" t="s">
        <v>44</v>
      </c>
      <c r="B237" s="1" t="s">
        <v>719</v>
      </c>
    </row>
    <row r="238" customFormat="false" ht="12.75" hidden="false" customHeight="true" outlineLevel="0" collapsed="false">
      <c r="A238" s="1" t="s">
        <v>720</v>
      </c>
      <c r="B238" s="1" t="s">
        <v>721</v>
      </c>
      <c r="C238" s="1" t="s">
        <v>722</v>
      </c>
    </row>
    <row r="239" customFormat="false" ht="12.75" hidden="false" customHeight="true" outlineLevel="0" collapsed="false">
      <c r="A239" s="1" t="s">
        <v>723</v>
      </c>
      <c r="B239" s="1" t="s">
        <v>724</v>
      </c>
    </row>
    <row r="240" customFormat="false" ht="12.75" hidden="false" customHeight="true" outlineLevel="0" collapsed="false">
      <c r="A240" s="1" t="s">
        <v>725</v>
      </c>
      <c r="B240" s="1" t="s">
        <v>726</v>
      </c>
    </row>
    <row r="241" customFormat="false" ht="12.75" hidden="false" customHeight="true" outlineLevel="0" collapsed="false">
      <c r="A241" s="1" t="s">
        <v>727</v>
      </c>
      <c r="B241" s="1" t="s">
        <v>728</v>
      </c>
      <c r="C241" s="1" t="s">
        <v>729</v>
      </c>
    </row>
    <row r="242" customFormat="false" ht="12.75" hidden="false" customHeight="true" outlineLevel="0" collapsed="false">
      <c r="A242" s="1" t="s">
        <v>730</v>
      </c>
      <c r="B242" s="1" t="s">
        <v>731</v>
      </c>
    </row>
    <row r="243" customFormat="false" ht="12.75" hidden="false" customHeight="true" outlineLevel="0" collapsed="false">
      <c r="A243" s="1" t="s">
        <v>732</v>
      </c>
      <c r="B243" s="1" t="s">
        <v>733</v>
      </c>
    </row>
    <row r="244" customFormat="false" ht="12.75" hidden="false" customHeight="true" outlineLevel="0" collapsed="false">
      <c r="A244" s="1" t="s">
        <v>734</v>
      </c>
      <c r="B244" s="1" t="s">
        <v>735</v>
      </c>
    </row>
    <row r="245" customFormat="false" ht="12.75" hidden="false" customHeight="true" outlineLevel="0" collapsed="false">
      <c r="A245" s="1" t="s">
        <v>736</v>
      </c>
      <c r="B245" s="1" t="s">
        <v>737</v>
      </c>
    </row>
    <row r="246" customFormat="false" ht="12.75" hidden="false" customHeight="true" outlineLevel="0" collapsed="false">
      <c r="A246" s="1" t="s">
        <v>738</v>
      </c>
      <c r="B246" s="1" t="s">
        <v>739</v>
      </c>
    </row>
    <row r="247" customFormat="false" ht="12.75" hidden="false" customHeight="true" outlineLevel="0" collapsed="false">
      <c r="A247" s="1" t="s">
        <v>740</v>
      </c>
      <c r="B247" s="1" t="s">
        <v>741</v>
      </c>
      <c r="C247" s="1" t="s">
        <v>742</v>
      </c>
    </row>
    <row r="248" customFormat="false" ht="12.75" hidden="false" customHeight="true" outlineLevel="0" collapsed="false">
      <c r="A248" s="1" t="s">
        <v>743</v>
      </c>
      <c r="B248" s="1" t="s">
        <v>744</v>
      </c>
      <c r="C248" s="1" t="s">
        <v>745</v>
      </c>
    </row>
    <row r="249" customFormat="false" ht="12.75" hidden="false" customHeight="true" outlineLevel="0" collapsed="false">
      <c r="A249" s="1" t="s">
        <v>746</v>
      </c>
      <c r="B249" s="1" t="s">
        <v>747</v>
      </c>
    </row>
    <row r="250" customFormat="false" ht="12.75" hidden="false" customHeight="true" outlineLevel="0" collapsed="false">
      <c r="A250" s="1" t="s">
        <v>748</v>
      </c>
      <c r="B250" s="1" t="s">
        <v>749</v>
      </c>
      <c r="C250" s="1" t="s">
        <v>750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B1" colorId="64" zoomScale="150" zoomScaleNormal="150" zoomScalePageLayoutView="100" workbookViewId="0">
      <selection pane="topLeft" activeCell="B1" activeCellId="0" sqref="B1"/>
    </sheetView>
  </sheetViews>
  <sheetFormatPr defaultColWidth="11.5078125" defaultRowHeight="12.75" zeroHeight="false" outlineLevelRow="0" outlineLevelCol="0"/>
  <cols>
    <col collapsed="false" customWidth="true" hidden="false" outlineLevel="0" max="1" min="1" style="1" width="10.66"/>
    <col collapsed="false" customWidth="true" hidden="false" outlineLevel="0" max="2" min="2" style="1" width="100.67"/>
  </cols>
  <sheetData>
    <row r="1" customFormat="false" ht="15" hidden="false" customHeight="true" outlineLevel="0" collapsed="false">
      <c r="A1" s="44" t="s">
        <v>751</v>
      </c>
      <c r="B1" s="44" t="s">
        <v>752</v>
      </c>
    </row>
    <row r="2" customFormat="false" ht="15.75" hidden="false" customHeight="true" outlineLevel="0" collapsed="false">
      <c r="A2" s="45" t="s">
        <v>753</v>
      </c>
      <c r="B2" s="45" t="s">
        <v>754</v>
      </c>
    </row>
    <row r="3" customFormat="false" ht="15.75" hidden="false" customHeight="true" outlineLevel="0" collapsed="false">
      <c r="A3" s="45" t="s">
        <v>755</v>
      </c>
      <c r="B3" s="45" t="s">
        <v>756</v>
      </c>
    </row>
    <row r="4" customFormat="false" ht="15.75" hidden="false" customHeight="true" outlineLevel="0" collapsed="false">
      <c r="A4" s="45" t="s">
        <v>757</v>
      </c>
      <c r="B4" s="45" t="s">
        <v>758</v>
      </c>
    </row>
    <row r="5" customFormat="false" ht="15.75" hidden="false" customHeight="true" outlineLevel="0" collapsed="false">
      <c r="A5" s="45" t="s">
        <v>759</v>
      </c>
      <c r="B5" s="45" t="s">
        <v>760</v>
      </c>
    </row>
    <row r="6" customFormat="false" ht="15.75" hidden="false" customHeight="true" outlineLevel="0" collapsed="false">
      <c r="A6" s="45" t="s">
        <v>761</v>
      </c>
      <c r="B6" s="45" t="s">
        <v>762</v>
      </c>
    </row>
    <row r="7" customFormat="false" ht="15.75" hidden="false" customHeight="true" outlineLevel="0" collapsed="false">
      <c r="A7" s="45" t="s">
        <v>763</v>
      </c>
      <c r="B7" s="45" t="s">
        <v>764</v>
      </c>
    </row>
    <row r="8" customFormat="false" ht="15.75" hidden="false" customHeight="true" outlineLevel="0" collapsed="false">
      <c r="A8" s="45" t="s">
        <v>765</v>
      </c>
      <c r="B8" s="45" t="s">
        <v>766</v>
      </c>
    </row>
    <row r="9" customFormat="false" ht="15.75" hidden="false" customHeight="true" outlineLevel="0" collapsed="false">
      <c r="A9" s="45" t="s">
        <v>767</v>
      </c>
      <c r="B9" s="45" t="s">
        <v>768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C1" colorId="64" zoomScale="200" zoomScaleNormal="200" zoomScalePageLayoutView="100" workbookViewId="0">
      <selection pane="topLeft" activeCell="E8" activeCellId="0" sqref="E8"/>
    </sheetView>
  </sheetViews>
  <sheetFormatPr defaultColWidth="8.66796875" defaultRowHeight="15.75" zeroHeight="false" outlineLevelRow="0" outlineLevelCol="0"/>
  <cols>
    <col collapsed="false" customWidth="true" hidden="false" outlineLevel="0" max="1" min="1" style="46" width="11.67"/>
    <col collapsed="false" customWidth="true" hidden="false" outlineLevel="0" max="2" min="2" style="46" width="16.5"/>
    <col collapsed="false" customWidth="true" hidden="false" outlineLevel="0" max="3" min="3" style="46" width="21.33"/>
    <col collapsed="false" customWidth="true" hidden="false" outlineLevel="0" max="4" min="4" style="46" width="22.16"/>
    <col collapsed="false" customWidth="true" hidden="false" outlineLevel="0" max="5" min="5" style="47" width="50.5"/>
    <col collapsed="false" customWidth="false" hidden="false" outlineLevel="0" max="16384" min="6" style="46" width="8.67"/>
  </cols>
  <sheetData>
    <row r="1" customFormat="false" ht="16.5" hidden="false" customHeight="true" outlineLevel="0" collapsed="false">
      <c r="A1" s="48" t="s">
        <v>769</v>
      </c>
      <c r="B1" s="48" t="s">
        <v>133</v>
      </c>
      <c r="C1" s="48" t="s">
        <v>136</v>
      </c>
      <c r="D1" s="48" t="s">
        <v>770</v>
      </c>
      <c r="E1" s="49" t="s">
        <v>771</v>
      </c>
    </row>
    <row r="2" customFormat="false" ht="16.5" hidden="false" customHeight="true" outlineLevel="0" collapsed="false">
      <c r="A2" s="46" t="s">
        <v>772</v>
      </c>
      <c r="B2" s="50" t="s">
        <v>773</v>
      </c>
      <c r="C2" s="50" t="s">
        <v>773</v>
      </c>
      <c r="D2" s="50" t="s">
        <v>774</v>
      </c>
      <c r="E2" s="51" t="s">
        <v>775</v>
      </c>
    </row>
    <row r="3" customFormat="false" ht="16.5" hidden="false" customHeight="true" outlineLevel="0" collapsed="false">
      <c r="A3" s="46" t="s">
        <v>772</v>
      </c>
      <c r="B3" s="50" t="s">
        <v>776</v>
      </c>
      <c r="C3" s="50" t="s">
        <v>777</v>
      </c>
      <c r="D3" s="50" t="s">
        <v>774</v>
      </c>
      <c r="E3" s="51" t="s">
        <v>778</v>
      </c>
    </row>
    <row r="4" customFormat="false" ht="33.75" hidden="false" customHeight="true" outlineLevel="0" collapsed="false">
      <c r="A4" s="46" t="s">
        <v>772</v>
      </c>
      <c r="B4" s="50" t="s">
        <v>776</v>
      </c>
      <c r="C4" s="52" t="s">
        <v>779</v>
      </c>
      <c r="D4" s="50" t="s">
        <v>774</v>
      </c>
      <c r="E4" s="51" t="s">
        <v>780</v>
      </c>
    </row>
    <row r="5" customFormat="false" ht="16.5" hidden="false" customHeight="true" outlineLevel="0" collapsed="false">
      <c r="A5" s="46" t="s">
        <v>772</v>
      </c>
      <c r="B5" s="50" t="s">
        <v>776</v>
      </c>
      <c r="C5" s="52" t="s">
        <v>781</v>
      </c>
      <c r="D5" s="50" t="s">
        <v>782</v>
      </c>
      <c r="E5" s="51" t="s">
        <v>783</v>
      </c>
    </row>
    <row r="6" customFormat="false" ht="16.5" hidden="false" customHeight="true" outlineLevel="0" collapsed="false">
      <c r="A6" s="46" t="s">
        <v>772</v>
      </c>
      <c r="B6" s="50" t="s">
        <v>776</v>
      </c>
      <c r="C6" s="52" t="s">
        <v>784</v>
      </c>
      <c r="D6" s="50" t="s">
        <v>785</v>
      </c>
      <c r="E6" s="51" t="s">
        <v>786</v>
      </c>
    </row>
    <row r="7" customFormat="false" ht="51" hidden="false" customHeight="true" outlineLevel="0" collapsed="false">
      <c r="A7" s="46" t="s">
        <v>772</v>
      </c>
      <c r="B7" s="50" t="s">
        <v>69</v>
      </c>
      <c r="C7" s="52" t="s">
        <v>787</v>
      </c>
      <c r="D7" s="50" t="s">
        <v>788</v>
      </c>
      <c r="E7" s="53" t="s">
        <v>789</v>
      </c>
    </row>
    <row r="8" customFormat="false" ht="51" hidden="false" customHeight="true" outlineLevel="0" collapsed="false">
      <c r="A8" s="46" t="s">
        <v>772</v>
      </c>
      <c r="B8" s="50" t="s">
        <v>52</v>
      </c>
      <c r="C8" s="52" t="s">
        <v>790</v>
      </c>
      <c r="D8" s="50" t="s">
        <v>791</v>
      </c>
      <c r="E8" s="54" t="s">
        <v>792</v>
      </c>
    </row>
    <row r="9" customFormat="false" ht="15.75" hidden="false" customHeight="true" outlineLevel="0" collapsed="false">
      <c r="A9" s="46" t="s">
        <v>772</v>
      </c>
      <c r="B9" s="50" t="s">
        <v>32</v>
      </c>
      <c r="C9" s="55" t="s">
        <v>793</v>
      </c>
      <c r="D9" s="46" t="s">
        <v>794</v>
      </c>
    </row>
    <row r="10" customFormat="false" ht="33.75" hidden="false" customHeight="true" outlineLevel="0" collapsed="false">
      <c r="A10" s="46" t="s">
        <v>772</v>
      </c>
      <c r="B10" s="50" t="s">
        <v>32</v>
      </c>
      <c r="C10" s="55" t="s">
        <v>793</v>
      </c>
      <c r="D10" s="46" t="s">
        <v>795</v>
      </c>
      <c r="E10" s="56" t="s">
        <v>796</v>
      </c>
    </row>
    <row r="11" customFormat="false" ht="33.75" hidden="false" customHeight="true" outlineLevel="0" collapsed="false">
      <c r="A11" s="46" t="s">
        <v>772</v>
      </c>
      <c r="B11" s="50" t="s">
        <v>797</v>
      </c>
      <c r="C11" s="46" t="s">
        <v>798</v>
      </c>
      <c r="D11" s="50" t="s">
        <v>782</v>
      </c>
      <c r="E11" s="47" t="s">
        <v>799</v>
      </c>
    </row>
    <row r="13" customFormat="false" ht="15.75" hidden="false" customHeight="true" outlineLevel="0" collapsed="false">
      <c r="E13" s="54"/>
    </row>
    <row r="15" customFormat="false" ht="15.75" hidden="false" customHeight="true" outlineLevel="0" collapsed="false">
      <c r="A15" s="57" t="s">
        <v>800</v>
      </c>
    </row>
    <row r="16" customFormat="false" ht="15.75" hidden="false" customHeight="true" outlineLevel="0" collapsed="false">
      <c r="A16" s="58" t="s">
        <v>801</v>
      </c>
    </row>
    <row r="17" customFormat="false" ht="15.75" hidden="false" customHeight="true" outlineLevel="0" collapsed="false">
      <c r="A17" s="58" t="s">
        <v>802</v>
      </c>
    </row>
    <row r="18" customFormat="false" ht="15.75" hidden="false" customHeight="true" outlineLevel="0" collapsed="false">
      <c r="A18" s="58" t="s">
        <v>803</v>
      </c>
    </row>
    <row r="19" customFormat="false" ht="15.75" hidden="false" customHeight="true" outlineLevel="0" collapsed="false">
      <c r="A19" s="58" t="s">
        <v>804</v>
      </c>
    </row>
    <row r="20" customFormat="false" ht="15.75" hidden="false" customHeight="true" outlineLevel="0" collapsed="false">
      <c r="A20" s="58" t="s">
        <v>805</v>
      </c>
    </row>
    <row r="21" customFormat="false" ht="15.75" hidden="false" customHeight="true" outlineLevel="0" collapsed="false">
      <c r="A21" s="58" t="s">
        <v>806</v>
      </c>
    </row>
    <row r="22" customFormat="false" ht="15.75" hidden="false" customHeight="true" outlineLevel="0" collapsed="false">
      <c r="A22" s="59" t="s">
        <v>807</v>
      </c>
    </row>
    <row r="23" customFormat="false" ht="15.75" hidden="false" customHeight="true" outlineLevel="0" collapsed="false">
      <c r="A23" s="59" t="s">
        <v>808</v>
      </c>
    </row>
    <row r="24" customFormat="false" ht="15.75" hidden="false" customHeight="true" outlineLevel="0" collapsed="false">
      <c r="A24" s="59" t="s">
        <v>809</v>
      </c>
    </row>
    <row r="25" customFormat="false" ht="15.75" hidden="false" customHeight="true" outlineLevel="0" collapsed="false">
      <c r="A25" s="5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true" showRowColHeaders="true" showZeros="true" rightToLeft="false" tabSelected="false" showOutlineSymbols="true" defaultGridColor="true" view="normal" topLeftCell="A29" colorId="64" zoomScale="200" zoomScaleNormal="200" zoomScalePageLayoutView="100" workbookViewId="0">
      <selection pane="topLeft" activeCell="A47" activeCellId="0" sqref="A47"/>
    </sheetView>
  </sheetViews>
  <sheetFormatPr defaultColWidth="11.5078125" defaultRowHeight="12.75" zeroHeight="false" outlineLevelRow="0" outlineLevelCol="0"/>
  <cols>
    <col collapsed="false" customWidth="true" hidden="false" outlineLevel="0" max="1" min="1" style="1" width="6.67"/>
    <col collapsed="false" customWidth="true" hidden="false" outlineLevel="0" max="2" min="2" style="1" width="74.67"/>
  </cols>
  <sheetData>
    <row r="1" customFormat="false" ht="12.75" hidden="false" customHeight="true" outlineLevel="0" collapsed="false">
      <c r="A1" s="1" t="s">
        <v>810</v>
      </c>
      <c r="B1" s="1" t="s">
        <v>811</v>
      </c>
    </row>
    <row r="2" customFormat="false" ht="12.75" hidden="false" customHeight="true" outlineLevel="0" collapsed="false">
      <c r="A2" s="1" t="s">
        <v>812</v>
      </c>
      <c r="B2" s="1" t="s">
        <v>813</v>
      </c>
    </row>
    <row r="3" customFormat="false" ht="12.75" hidden="false" customHeight="true" outlineLevel="0" collapsed="false">
      <c r="A3" s="1" t="s">
        <v>814</v>
      </c>
      <c r="B3" s="1" t="s">
        <v>815</v>
      </c>
    </row>
    <row r="4" customFormat="false" ht="12.75" hidden="false" customHeight="true" outlineLevel="0" collapsed="false">
      <c r="A4" s="1" t="s">
        <v>816</v>
      </c>
      <c r="B4" s="1" t="s">
        <v>817</v>
      </c>
    </row>
    <row r="5" customFormat="false" ht="12.75" hidden="false" customHeight="true" outlineLevel="0" collapsed="false">
      <c r="A5" s="1" t="s">
        <v>189</v>
      </c>
      <c r="B5" s="1" t="s">
        <v>818</v>
      </c>
    </row>
    <row r="6" customFormat="false" ht="12.75" hidden="false" customHeight="true" outlineLevel="0" collapsed="false">
      <c r="A6" s="1" t="s">
        <v>819</v>
      </c>
      <c r="B6" s="1" t="s">
        <v>820</v>
      </c>
    </row>
    <row r="7" customFormat="false" ht="12.75" hidden="false" customHeight="true" outlineLevel="0" collapsed="false">
      <c r="A7" s="1" t="s">
        <v>821</v>
      </c>
      <c r="B7" s="1" t="s">
        <v>822</v>
      </c>
    </row>
    <row r="8" customFormat="false" ht="12.75" hidden="false" customHeight="true" outlineLevel="0" collapsed="false">
      <c r="A8" s="1" t="s">
        <v>823</v>
      </c>
      <c r="B8" s="1" t="s">
        <v>824</v>
      </c>
    </row>
    <row r="9" customFormat="false" ht="12.75" hidden="false" customHeight="true" outlineLevel="0" collapsed="false">
      <c r="A9" s="1" t="s">
        <v>825</v>
      </c>
      <c r="B9" s="1" t="s">
        <v>826</v>
      </c>
    </row>
    <row r="10" customFormat="false" ht="12.75" hidden="false" customHeight="true" outlineLevel="0" collapsed="false">
      <c r="A10" s="1" t="s">
        <v>827</v>
      </c>
      <c r="B10" s="1" t="s">
        <v>828</v>
      </c>
    </row>
    <row r="11" customFormat="false" ht="12.75" hidden="false" customHeight="true" outlineLevel="0" collapsed="false">
      <c r="A11" s="1" t="s">
        <v>829</v>
      </c>
      <c r="B11" s="1" t="s">
        <v>830</v>
      </c>
    </row>
    <row r="12" customFormat="false" ht="12.75" hidden="false" customHeight="true" outlineLevel="0" collapsed="false">
      <c r="A12" s="1" t="s">
        <v>831</v>
      </c>
      <c r="B12" s="1" t="s">
        <v>832</v>
      </c>
    </row>
    <row r="13" customFormat="false" ht="12.75" hidden="false" customHeight="true" outlineLevel="0" collapsed="false">
      <c r="A13" s="1" t="s">
        <v>833</v>
      </c>
      <c r="B13" s="1" t="s">
        <v>834</v>
      </c>
    </row>
    <row r="14" customFormat="false" ht="12.75" hidden="false" customHeight="true" outlineLevel="0" collapsed="false">
      <c r="A14" s="1" t="s">
        <v>835</v>
      </c>
      <c r="B14" s="1" t="s">
        <v>836</v>
      </c>
    </row>
    <row r="15" customFormat="false" ht="12.75" hidden="false" customHeight="true" outlineLevel="0" collapsed="false">
      <c r="A15" s="1" t="s">
        <v>837</v>
      </c>
      <c r="B15" s="1" t="s">
        <v>838</v>
      </c>
    </row>
    <row r="16" customFormat="false" ht="12.75" hidden="false" customHeight="true" outlineLevel="0" collapsed="false">
      <c r="A16" s="1" t="s">
        <v>839</v>
      </c>
      <c r="B16" s="1" t="s">
        <v>840</v>
      </c>
    </row>
    <row r="17" customFormat="false" ht="12.75" hidden="false" customHeight="true" outlineLevel="0" collapsed="false">
      <c r="A17" s="1" t="s">
        <v>841</v>
      </c>
      <c r="B17" s="1" t="s">
        <v>842</v>
      </c>
    </row>
    <row r="18" customFormat="false" ht="12.75" hidden="false" customHeight="true" outlineLevel="0" collapsed="false">
      <c r="A18" s="1" t="s">
        <v>843</v>
      </c>
      <c r="B18" s="1" t="s">
        <v>844</v>
      </c>
    </row>
    <row r="19" customFormat="false" ht="12.75" hidden="false" customHeight="true" outlineLevel="0" collapsed="false">
      <c r="A19" s="1" t="s">
        <v>845</v>
      </c>
      <c r="B19" s="1" t="s">
        <v>846</v>
      </c>
    </row>
    <row r="20" customFormat="false" ht="12.75" hidden="false" customHeight="true" outlineLevel="0" collapsed="false">
      <c r="A20" s="1" t="s">
        <v>847</v>
      </c>
      <c r="B20" s="1" t="s">
        <v>848</v>
      </c>
    </row>
    <row r="21" customFormat="false" ht="12.75" hidden="false" customHeight="true" outlineLevel="0" collapsed="false">
      <c r="A21" s="1" t="s">
        <v>849</v>
      </c>
      <c r="B21" s="1" t="s">
        <v>850</v>
      </c>
    </row>
    <row r="22" customFormat="false" ht="12.75" hidden="false" customHeight="true" outlineLevel="0" collapsed="false">
      <c r="A22" s="1" t="s">
        <v>851</v>
      </c>
      <c r="B22" s="1" t="s">
        <v>852</v>
      </c>
    </row>
    <row r="23" customFormat="false" ht="12.75" hidden="false" customHeight="true" outlineLevel="0" collapsed="false">
      <c r="A23" s="1" t="s">
        <v>853</v>
      </c>
      <c r="B23" s="1" t="s">
        <v>854</v>
      </c>
    </row>
    <row r="24" customFormat="false" ht="12.75" hidden="false" customHeight="true" outlineLevel="0" collapsed="false">
      <c r="A24" s="1" t="s">
        <v>855</v>
      </c>
      <c r="B24" s="1" t="s">
        <v>856</v>
      </c>
    </row>
    <row r="25" customFormat="false" ht="12.75" hidden="false" customHeight="true" outlineLevel="0" collapsed="false">
      <c r="A25" s="1" t="s">
        <v>857</v>
      </c>
      <c r="B25" s="1" t="s">
        <v>858</v>
      </c>
    </row>
    <row r="26" customFormat="false" ht="12.75" hidden="false" customHeight="true" outlineLevel="0" collapsed="false">
      <c r="A26" s="1" t="s">
        <v>859</v>
      </c>
      <c r="B26" s="1" t="s">
        <v>860</v>
      </c>
    </row>
    <row r="27" customFormat="false" ht="12.75" hidden="false" customHeight="true" outlineLevel="0" collapsed="false">
      <c r="A27" s="1" t="s">
        <v>861</v>
      </c>
      <c r="B27" s="1" t="s">
        <v>862</v>
      </c>
    </row>
    <row r="28" customFormat="false" ht="12.75" hidden="false" customHeight="true" outlineLevel="0" collapsed="false">
      <c r="A28" s="1" t="s">
        <v>863</v>
      </c>
      <c r="B28" s="1" t="s">
        <v>864</v>
      </c>
    </row>
    <row r="29" customFormat="false" ht="12.75" hidden="false" customHeight="true" outlineLevel="0" collapsed="false">
      <c r="A29" s="1" t="s">
        <v>865</v>
      </c>
      <c r="B29" s="1" t="s">
        <v>866</v>
      </c>
    </row>
    <row r="30" customFormat="false" ht="12.75" hidden="false" customHeight="true" outlineLevel="0" collapsed="false">
      <c r="A30" s="1" t="s">
        <v>867</v>
      </c>
      <c r="B30" s="1" t="s">
        <v>868</v>
      </c>
    </row>
    <row r="31" customFormat="false" ht="12.75" hidden="false" customHeight="true" outlineLevel="0" collapsed="false">
      <c r="A31" s="1" t="s">
        <v>869</v>
      </c>
      <c r="B31" s="1" t="s">
        <v>870</v>
      </c>
    </row>
    <row r="32" customFormat="false" ht="12.75" hidden="false" customHeight="true" outlineLevel="0" collapsed="false">
      <c r="A32" s="1" t="s">
        <v>871</v>
      </c>
      <c r="B32" s="1" t="s">
        <v>872</v>
      </c>
    </row>
    <row r="33" customFormat="false" ht="12.75" hidden="false" customHeight="true" outlineLevel="0" collapsed="false">
      <c r="A33" s="1" t="s">
        <v>873</v>
      </c>
      <c r="B33" s="1" t="s">
        <v>874</v>
      </c>
    </row>
    <row r="34" customFormat="false" ht="12.75" hidden="false" customHeight="true" outlineLevel="0" collapsed="false">
      <c r="A34" s="1" t="s">
        <v>875</v>
      </c>
      <c r="B34" s="1" t="s">
        <v>876</v>
      </c>
    </row>
    <row r="35" customFormat="false" ht="12.75" hidden="false" customHeight="true" outlineLevel="0" collapsed="false">
      <c r="A35" s="1" t="s">
        <v>877</v>
      </c>
      <c r="B35" s="1" t="s">
        <v>878</v>
      </c>
    </row>
    <row r="36" customFormat="false" ht="12.75" hidden="false" customHeight="true" outlineLevel="0" collapsed="false">
      <c r="A36" s="1" t="s">
        <v>879</v>
      </c>
      <c r="B36" s="1" t="s">
        <v>880</v>
      </c>
    </row>
    <row r="37" customFormat="false" ht="12.75" hidden="false" customHeight="true" outlineLevel="0" collapsed="false">
      <c r="A37" s="1" t="s">
        <v>881</v>
      </c>
      <c r="B37" s="1" t="s">
        <v>882</v>
      </c>
    </row>
    <row r="38" customFormat="false" ht="12.75" hidden="false" customHeight="true" outlineLevel="0" collapsed="false">
      <c r="A38" s="1" t="s">
        <v>883</v>
      </c>
      <c r="B38" s="1" t="s">
        <v>884</v>
      </c>
    </row>
    <row r="39" customFormat="false" ht="12.75" hidden="false" customHeight="true" outlineLevel="0" collapsed="false">
      <c r="A39" s="1" t="s">
        <v>885</v>
      </c>
      <c r="B39" s="1" t="s">
        <v>886</v>
      </c>
    </row>
    <row r="40" customFormat="false" ht="12.75" hidden="false" customHeight="true" outlineLevel="0" collapsed="false">
      <c r="A40" s="1" t="s">
        <v>183</v>
      </c>
      <c r="B40" s="1" t="s">
        <v>887</v>
      </c>
    </row>
    <row r="41" customFormat="false" ht="12.75" hidden="false" customHeight="true" outlineLevel="0" collapsed="false">
      <c r="A41" s="1" t="s">
        <v>888</v>
      </c>
      <c r="B41" s="1" t="s">
        <v>889</v>
      </c>
    </row>
    <row r="42" customFormat="false" ht="12.75" hidden="false" customHeight="true" outlineLevel="0" collapsed="false">
      <c r="A42" s="1" t="s">
        <v>888</v>
      </c>
      <c r="B42" s="1" t="s">
        <v>890</v>
      </c>
    </row>
    <row r="43" customFormat="false" ht="12.75" hidden="false" customHeight="true" outlineLevel="0" collapsed="false">
      <c r="A43" s="1" t="s">
        <v>891</v>
      </c>
      <c r="B43" s="1" t="s">
        <v>892</v>
      </c>
    </row>
    <row r="44" customFormat="false" ht="12.75" hidden="false" customHeight="true" outlineLevel="0" collapsed="false">
      <c r="A44" s="1" t="s">
        <v>893</v>
      </c>
      <c r="B44" s="1" t="s">
        <v>894</v>
      </c>
    </row>
    <row r="45" customFormat="false" ht="12.75" hidden="false" customHeight="true" outlineLevel="0" collapsed="false">
      <c r="A45" s="1" t="s">
        <v>895</v>
      </c>
      <c r="B45" s="1" t="s">
        <v>896</v>
      </c>
    </row>
    <row r="46" customFormat="false" ht="12.75" hidden="false" customHeight="true" outlineLevel="0" collapsed="false">
      <c r="A46" s="1" t="s">
        <v>895</v>
      </c>
      <c r="B46" s="1" t="s">
        <v>897</v>
      </c>
    </row>
    <row r="47" customFormat="false" ht="12.75" hidden="false" customHeight="true" outlineLevel="0" collapsed="false">
      <c r="A47" s="1" t="s">
        <v>898</v>
      </c>
      <c r="B47" s="1" t="s">
        <v>899</v>
      </c>
    </row>
    <row r="48" customFormat="false" ht="12.75" hidden="false" customHeight="true" outlineLevel="0" collapsed="false">
      <c r="A48" s="1" t="s">
        <v>900</v>
      </c>
      <c r="B48" s="1" t="s">
        <v>901</v>
      </c>
    </row>
    <row r="49" customFormat="false" ht="12.75" hidden="false" customHeight="true" outlineLevel="0" collapsed="false">
      <c r="A49" s="1" t="s">
        <v>902</v>
      </c>
      <c r="B49" s="1" t="s">
        <v>903</v>
      </c>
    </row>
    <row r="50" customFormat="false" ht="15.75" hidden="false" customHeight="true" outlineLevel="0" collapsed="false">
      <c r="A50" s="60" t="s">
        <v>904</v>
      </c>
      <c r="B50" s="61" t="s">
        <v>905</v>
      </c>
    </row>
    <row r="53" customFormat="false" ht="12.75" hidden="false" customHeight="true" outlineLevel="0" collapsed="false">
      <c r="B53" s="1" t="s">
        <v>906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2005-05-04T20:55:03Z</dcterms:created>
  <dc:creator>mesposito</dc:creator>
  <dc:description/>
  <dc:language>en-US</dc:language>
  <cp:lastModifiedBy>Brian L Fisher</cp:lastModifiedBy>
  <dcterms:modified xsi:type="dcterms:W3CDTF">2026-10-18T00:15:21Z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